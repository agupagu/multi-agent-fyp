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omeshsahu/Desktop/browser-use-final/agents_main/"/>
    </mc:Choice>
  </mc:AlternateContent>
  <xr:revisionPtr revIDLastSave="0" documentId="13_ncr:1_{CD78886F-2D29-E347-BD2D-706A5B66DDEA}" xr6:coauthVersionLast="47" xr6:coauthVersionMax="47" xr10:uidLastSave="{00000000-0000-0000-0000-000000000000}"/>
  <bookViews>
    <workbookView xWindow="1200" yWindow="500" windowWidth="37200" windowHeight="21100" firstSheet="6" activeTab="8" xr2:uid="{A5162DA1-3FBB-8147-A438-955B411FAAF2}"/>
  </bookViews>
  <sheets>
    <sheet name="Layer3 LoginChecker Claude" sheetId="1" r:id="rId1"/>
    <sheet name="Layer3 LoginChecker OpenAI" sheetId="2" r:id="rId2"/>
    <sheet name="Layer3 AlphaHunter Claude" sheetId="3" r:id="rId3"/>
    <sheet name="Layer3 AlphaHunter OpenAI" sheetId="4" r:id="rId4"/>
    <sheet name="Galxe LoginChecker Claude" sheetId="5" r:id="rId5"/>
    <sheet name="Galxe LoginChecker OpenAI" sheetId="6" r:id="rId6"/>
    <sheet name="Galxe AlphaHunter Claude" sheetId="7" r:id="rId7"/>
    <sheet name="Galxe AlphaHunter OpenAI" sheetId="8" r:id="rId8"/>
    <sheet name="Layer3 OtherAgents Claude" sheetId="10" r:id="rId9"/>
    <sheet name="Layer3 User" sheetId="14" r:id="rId10"/>
    <sheet name="Layer3 OtherAgents OpenAI" sheetId="13" r:id="rId11"/>
    <sheet name="Galxe OtherAgents Claude" sheetId="11" r:id="rId12"/>
    <sheet name="Galxe User" sheetId="15" r:id="rId13"/>
    <sheet name="Galxe OtherAgents OpenAI" sheetId="12" r:id="rId1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1" l="1"/>
  <c r="M4" i="11"/>
  <c r="M5" i="11"/>
  <c r="M6" i="11"/>
  <c r="M2" i="11"/>
  <c r="G6" i="15"/>
  <c r="G5" i="15"/>
  <c r="G4" i="15"/>
  <c r="G3" i="15"/>
  <c r="G2" i="15"/>
  <c r="G11" i="14"/>
  <c r="G7" i="14"/>
  <c r="G8" i="14"/>
  <c r="G9" i="14"/>
  <c r="G10" i="14"/>
  <c r="G6" i="14"/>
  <c r="G5" i="14"/>
  <c r="G4" i="14"/>
  <c r="G3" i="14"/>
  <c r="G2" i="14"/>
  <c r="N11" i="10"/>
  <c r="N9" i="10"/>
  <c r="N7" i="10"/>
  <c r="N6" i="10"/>
  <c r="N5" i="10"/>
  <c r="N3" i="10"/>
  <c r="N4" i="10"/>
  <c r="N8" i="10"/>
  <c r="N10" i="10"/>
  <c r="N2" i="10"/>
</calcChain>
</file>

<file path=xl/sharedStrings.xml><?xml version="1.0" encoding="utf-8"?>
<sst xmlns="http://schemas.openxmlformats.org/spreadsheetml/2006/main" count="262" uniqueCount="145">
  <si>
    <t>Tokens</t>
  </si>
  <si>
    <t>Time</t>
  </si>
  <si>
    <t>Quest</t>
  </si>
  <si>
    <t>Tasks</t>
  </si>
  <si>
    <t>Tokens Used</t>
  </si>
  <si>
    <t>Time Taken</t>
  </si>
  <si>
    <t>Notes</t>
  </si>
  <si>
    <t>-</t>
  </si>
  <si>
    <t>https://app.layer3.xyz/quests/ink-mastery-introduction</t>
  </si>
  <si>
    <t>1. Intro to Ink
2. Visit the Ink Ecosystem
3. Follow Ink on X
4. Bridge to Ink</t>
  </si>
  <si>
    <t>TaskCompletionAgent- 121568
TaskVerificationAgent- 9382
QuestCompletionAgent- 11572</t>
  </si>
  <si>
    <t>TaskCompletionAgent- 205.54
TaskVerificationAgent- 35.04
QuestCompletionAgent- 28.81</t>
  </si>
  <si>
    <t>https://app.layer3.xyz/quests/welcome-to-spark</t>
  </si>
  <si>
    <t>1. About Spark
2. Take our quiz! (3 questions)</t>
  </si>
  <si>
    <t>TaskCompletionAgent- 159090
TaskVerificationAgent- 9373
QuestCompletionAgent- 7260</t>
  </si>
  <si>
    <t>TaskCompletionAgent- 278.63
TaskVerificationAgent- 29.05
QuestCompletionAgent- 22.77</t>
  </si>
  <si>
    <t>https://app.layer3.xyz/quests/berachain-ecosystem-kyberswap</t>
  </si>
  <si>
    <t xml:space="preserve">1. 'What is KyberSwap?' 
2. 'Swap via KyberSwap' 
3. 'Claim Rewards' 
</t>
  </si>
  <si>
    <t>TaskCompletionAgent- 148173
TaskVerificationAgent- 22991
QuestCompletionAgent- 21156</t>
  </si>
  <si>
    <t>TaskCompletionAgent- 276.03
TaskVerificationAgent- 56.74
QuestCompletionAgent- 49.63</t>
  </si>
  <si>
    <t>Onchain task on Kyberswap</t>
  </si>
  <si>
    <t>https://app.layer3.xyz/quests/deposit-to-spark-savings-vault</t>
  </si>
  <si>
    <t>1. Verify Quest Completion
2. Deposit USDC In Savings Vault
3. Anti-Sybil Step.</t>
  </si>
  <si>
    <t>TaskCompletionAgent- 81512
TaskVerificationAgent- 17442
QuestCompletionAgent- 7426</t>
  </si>
  <si>
    <t>TaskCompletionAgent- 150.8
TaskVerificationAgent- 42.69
QuestCompletionAgent- 18.24</t>
  </si>
  <si>
    <t>Started after Agent deposited money into the vault
Layer3 bot detection was activated
Had to ensure there were enough funds in the account before attempting the quest</t>
  </si>
  <si>
    <t>https://app.layer3.xyz/quests/superchain-base</t>
  </si>
  <si>
    <t>1. Bridged to Base?
2. Claimed Rewards</t>
  </si>
  <si>
    <t>TaskCompletionAgent- 83327
TaskVerificationAgent- 42940
QuestCompletionAgent- 11456</t>
  </si>
  <si>
    <t>TaskCompletionAgent- 204.40
TaskVerificationAgent- 99.17
QuestCompletionAgent- 32.77</t>
  </si>
  <si>
    <t>https://app.layer3.xyz/quests/polygon-maxi-stablecoin-enjoyer</t>
  </si>
  <si>
    <t>1. Hold POL
2. Hold any Stablecoin on POL
3. Claim rewards</t>
  </si>
  <si>
    <t>TaskCompletionAgent- 250412
TaskVerificationAgent- 21714
QuestCompletionAgent- 7381</t>
  </si>
  <si>
    <t>TaskCompletionAgent- 459.79
TaskVerificationAgent- 53.33
QuestCompletionAgent- 19.82</t>
  </si>
  <si>
    <t>Had to intervene as Agent was misdirected (Proceded to Uniswap even though there was no need to)- Closed uniswap tab and pressed verify button</t>
  </si>
  <si>
    <t>https://app.layer3.xyz/quests/berachain-ecosystem-jumper</t>
  </si>
  <si>
    <t>1. Swap via Jumper
2. Claim rewards</t>
  </si>
  <si>
    <t>TaskCompletionAgent- 111317
TaskVerificationAgent- 26849
QuestCompletionAgent- 7442</t>
  </si>
  <si>
    <t>TaskCompletionAgent- 178.70
TaskVerificationAgent- 78.68
QuestCompletionAgent- 18.94</t>
  </si>
  <si>
    <t>https://app.layer3.xyz/quests/cubes-on-berachain</t>
  </si>
  <si>
    <t>1. Introducing Cubes
2. Bridged to Berachain
3. Claimed Rewards</t>
  </si>
  <si>
    <t>TaskCompletionAgent- 92392
TaskVerificationAgent- 13185
QuestCompletionAgent- 7428</t>
  </si>
  <si>
    <t>TaskCompletionAgent- 156.03
TaskVerificationAgent- 32.95
QuestCompletionAgent- 19.29</t>
  </si>
  <si>
    <t>https://app.layer3.xyz/quests/berachain-ecosystem-welcome</t>
  </si>
  <si>
    <t>1. Intro to Berachain
2. Hold BERA on Berachain
3. Claim rewards</t>
  </si>
  <si>
    <t>TaskCompletionAgent- 103876
TaskVerificationAgent- 22103
QuestCompletionAgent- 11675</t>
  </si>
  <si>
    <t>TaskCompletionAgent- 180.37
TaskVerificationAgent- 55.46
QuestCompletionAgent- 32.45</t>
  </si>
  <si>
    <t>https://app.layer3.xyz/quests/berachain-ecosystem-stargate</t>
  </si>
  <si>
    <t>1. About Stargate
2. Bridge to Beracahin (Onchain task)
3. Follow Stagrate on X
4. Claim rewards</t>
  </si>
  <si>
    <t>TaskCompletionAgent- 330641
TaskVerificationAgent- 10336
QuestCompletionAgent- 7777</t>
  </si>
  <si>
    <t>TaskCompletionAgent- 608.47
TaskVerificationAgent- 31.26
QuestCompletionAgent- 18.42</t>
  </si>
  <si>
    <t>TaskCompletionAgent_Time</t>
  </si>
  <si>
    <t>TaskVerificationAgent_Time</t>
  </si>
  <si>
    <t>QuestCompletionAgent_Time</t>
  </si>
  <si>
    <t>TaskCompletionAgent_Tokens</t>
  </si>
  <si>
    <t>TaskVerificationAgent_Tokens</t>
  </si>
  <si>
    <t>QuestCompletionAgent_Tokens</t>
  </si>
  <si>
    <t>https://app.galxe.com/quest/sake/GCgn2tpVJy</t>
  </si>
  <si>
    <t>https://app.galxe.com/quest/UntitledBank/GCwELtp5Vp</t>
  </si>
  <si>
    <t>https://app.galxe.com/quest/TitanNetwork/GCv39tpzhh</t>
  </si>
  <si>
    <t>https://app.galxe.com/quest/Nexa/GC4DZt1ygP</t>
  </si>
  <si>
    <t>https://app.galxe.com/quest/NFTFeed/GCnr8t1Q6B</t>
  </si>
  <si>
    <t>Follow 3 X Accounts</t>
  </si>
  <si>
    <t>Follow an Account
Visit 3 sites</t>
  </si>
  <si>
    <t>Follow, Like, Retweet, Visit a site</t>
  </si>
  <si>
    <t>Follow an X account and Follow a page</t>
  </si>
  <si>
    <t>Follow 2 X accounts, Retweet and Quote</t>
  </si>
  <si>
    <t>TaskCompletionAgent- 97397
TaskVerificationAgent- 43978
QuestCompletionAgent- 60949</t>
  </si>
  <si>
    <t>TaskCompletionAgent- 104284
TaskVerificationAgent- 78125
QuestCompletionAgent- 94244</t>
  </si>
  <si>
    <t>TaskCompletionAgent- 262232
TaskVerificationAgent- 17715
QuestCompletionAgent- 16671</t>
  </si>
  <si>
    <t>TaskCompletionAgent- 152096
TaskVerificationAgent- 69002
QuestCompletionAgent- 48797</t>
  </si>
  <si>
    <t>TaskCompletionAgent- 276513
TaskVerificationAgent- 44956
QuestCompletionAgent- 89769</t>
  </si>
  <si>
    <t>TaskCompletionAgent- 194.97
TaskVerificationAgent- 176.42
QuestCompletionAgent- 206.33</t>
  </si>
  <si>
    <t>TaskCompletionAgent- 500.20
TaskVerificationAgent- 40.38
QuestCompletionAgent- 36.11</t>
  </si>
  <si>
    <t>TaskCompletionAgent- 279.86
TaskVerificationAgent- 160.87
QuestCompletionAgent- 104.54</t>
  </si>
  <si>
    <t>TaskCompletionAgent- 402.11
TaskVerificationAgent- 82.35
QuestCompletionAgent- 154.45</t>
  </si>
  <si>
    <t>TaskCompletionAgent- 181.32
TaskVerificationAgent- 98.78
QuestCompletionAgent- 132.47</t>
  </si>
  <si>
    <t>Human intervention was required to claim the final reward</t>
  </si>
  <si>
    <t>Human intervention was required to redirect the agent to press the refresh button</t>
  </si>
  <si>
    <t>Human intervention was required to click on the first tweet</t>
  </si>
  <si>
    <t>Tasks Completed</t>
  </si>
  <si>
    <t>Total Tasks</t>
  </si>
  <si>
    <t>https://app.galxe.com/quest/Kryll/GCjjYt1fux</t>
  </si>
  <si>
    <t>Like, Retweet, Follow</t>
  </si>
  <si>
    <t>https://app.galxe.com/quest/EarnOS/GCKrVt1CUJ</t>
  </si>
  <si>
    <t>Visit 2 websites, Follow 2 X accounts, Follow on Galxe, Retweet a tweet</t>
  </si>
  <si>
    <t>https://app.galxe.com/quest/KataraAI/GC2UZt1qLB</t>
  </si>
  <si>
    <t>Follow 2 X Accounts, Like and Retweet a tweet</t>
  </si>
  <si>
    <t>https://app.galxe.com/quest/apeironnft/GCMeft1NkX</t>
  </si>
  <si>
    <t>Follow on Galxe and Like a tweet on X`</t>
  </si>
  <si>
    <t>https://app.galxe.com/quest/apeironnft/GC6Npt1rpr</t>
  </si>
  <si>
    <t>Like, Retweet, Follow 2 X accounts</t>
  </si>
  <si>
    <t>Human intervention was unable to break the Agent in loop</t>
  </si>
  <si>
    <t>AI Agent went on and did a completely different quest until human intervention</t>
  </si>
  <si>
    <t>Once again the AI agent went to search for an invalid URL and did not understand the instructions of completing the quest specified in the JSON file</t>
  </si>
  <si>
    <t>Only could complete 1 task which was follow Galxe and then went on to do a different quest</t>
  </si>
  <si>
    <t>Only completed 2 tasks out of 4</t>
  </si>
  <si>
    <t>https://app.layer3.xyz/quests/superchain-enjoyeers-velodrome</t>
  </si>
  <si>
    <t>1. Swap on Velodrome
2. Skip task
3. Claim rewards</t>
  </si>
  <si>
    <t>Went into a loop for final step</t>
  </si>
  <si>
    <t>https://app.layer3.xyz/quests/liveart-fragments-of-segments-1</t>
  </si>
  <si>
    <t>1. Mint on liverart
2. Follow Liveart on X
3. Claim rewards</t>
  </si>
  <si>
    <t>Misunderstood the task completely</t>
  </si>
  <si>
    <t>https://app.layer3.xyz/quests/liveart-fragments-of-segments-2</t>
  </si>
  <si>
    <t>https://app.layer3.xyz/quests/liveart-fragments-of-segments-4</t>
  </si>
  <si>
    <t>Was somehow stuck in a loop trying to navigate to the external minting page on liveart</t>
  </si>
  <si>
    <t>https://app.layer3.xyz/quests/ink-mastery-gm</t>
  </si>
  <si>
    <t>1. Onchain GM 
2. Check for completed quest
3. Claim rewards</t>
  </si>
  <si>
    <t>https://app.layer3.xyz/quests/rari-revolution-rarible</t>
  </si>
  <si>
    <t>1. What is Rarible?
2. Explore Rarible
3. Claim Rewards</t>
  </si>
  <si>
    <t>Incorrectly assumed task was complete</t>
  </si>
  <si>
    <t>Went on to state that task was completed even though it had not claimed the final reward</t>
  </si>
  <si>
    <t>https://app.layer3.xyz/quests/ink-mastery-layerswap</t>
  </si>
  <si>
    <t>1. Verify Quest Completion
2. Bridge via Layerswap
3. Claim rewards</t>
  </si>
  <si>
    <t>Failed to progress after hitting the first continue button</t>
  </si>
  <si>
    <t>https://app.layer3.xyz/quests/ink-mastery-zns</t>
  </si>
  <si>
    <t>1. Verify Quest Completion
2. Skip optional task
3. Verify cubes minted
4. Claim rewards</t>
  </si>
  <si>
    <t>Was stuck in a loop after sklipping the second step</t>
  </si>
  <si>
    <t>https://app.layer3.xyz/quests/berachain-ecosystem-router</t>
  </si>
  <si>
    <t>1. What is Router Protocol?
2. Bridge to Berachain
3. Claim rewards</t>
  </si>
  <si>
    <t>Could not complete the second task of bridging to berachain</t>
  </si>
  <si>
    <t>https://app.layer3.xyz/quests/berachain-ecosystem-bebop</t>
  </si>
  <si>
    <t>1. Swap via bebop
2. Follow on X
3. Claim rewards</t>
  </si>
  <si>
    <t>Could not make the swap on the first quest</t>
  </si>
  <si>
    <t>Total Time</t>
  </si>
  <si>
    <t>Test 1</t>
  </si>
  <si>
    <t>Test 2</t>
  </si>
  <si>
    <t>Test 3</t>
  </si>
  <si>
    <t>Average Total Time</t>
  </si>
  <si>
    <t>Ink Mastery</t>
  </si>
  <si>
    <t>Welcome to Spark</t>
  </si>
  <si>
    <t>Berachain Ecosystem Kyberswap</t>
  </si>
  <si>
    <t>Deposit to Spark Savings Vault</t>
  </si>
  <si>
    <t>Superchain Base</t>
  </si>
  <si>
    <t>Polygon Maxi Stablecoin Enjoyer</t>
  </si>
  <si>
    <t>Berachain Ecosystem Jumper</t>
  </si>
  <si>
    <t>Cubes on Berachain</t>
  </si>
  <si>
    <t>Berachain Ecosystem Welcome</t>
  </si>
  <si>
    <t>Berachain Ecosystem Stargate</t>
  </si>
  <si>
    <t>Quest Name</t>
  </si>
  <si>
    <t>Soneium DeFi: Puffer Finance</t>
  </si>
  <si>
    <t>Soneium DeFi: Yay!</t>
  </si>
  <si>
    <t>Titan Network Community Space #12</t>
  </si>
  <si>
    <t>Nexa Debut Campaign</t>
  </si>
  <si>
    <t>200 $MON from Monad Insider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</si>
</sst>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wrapText="1"/>
    </xf>
    <xf numFmtId="0" fontId="0" fillId="0" borderId="0" xfId="0" applyFill="1"/>
    <xf numFmtId="0" fontId="4" fillId="0" borderId="0" xfId="0" applyFont="1"/>
    <xf numFmtId="0" fontId="4" fillId="0" borderId="0" xfId="0" applyFont="1" applyAlignment="1">
      <alignment wrapText="1"/>
    </xf>
    <xf numFmtId="2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app.layer3.xyz/quests/cubes-on-berachain" TargetMode="External"/><Relationship Id="rId3" Type="http://schemas.openxmlformats.org/officeDocument/2006/relationships/hyperlink" Target="https://app.layer3.xyz/quests/berachain-ecosystem-kyberswap" TargetMode="External"/><Relationship Id="rId7" Type="http://schemas.openxmlformats.org/officeDocument/2006/relationships/hyperlink" Target="https://app.layer3.xyz/quests/berachain-ecosystem-jumper" TargetMode="External"/><Relationship Id="rId2" Type="http://schemas.openxmlformats.org/officeDocument/2006/relationships/hyperlink" Target="https://app.layer3.xyz/quests/welcome-to-spark" TargetMode="External"/><Relationship Id="rId1" Type="http://schemas.openxmlformats.org/officeDocument/2006/relationships/hyperlink" Target="https://app.layer3.xyz/quests/ink-mastery-introduction" TargetMode="External"/><Relationship Id="rId6" Type="http://schemas.openxmlformats.org/officeDocument/2006/relationships/hyperlink" Target="https://app.layer3.xyz/quests/polygon-maxi-stablecoin-enjoyer" TargetMode="External"/><Relationship Id="rId5" Type="http://schemas.openxmlformats.org/officeDocument/2006/relationships/hyperlink" Target="https://app.layer3.xyz/quests/superchain-base" TargetMode="External"/><Relationship Id="rId10" Type="http://schemas.openxmlformats.org/officeDocument/2006/relationships/hyperlink" Target="https://app.layer3.xyz/quests/berachain-ecosystem-stargate" TargetMode="External"/><Relationship Id="rId4" Type="http://schemas.openxmlformats.org/officeDocument/2006/relationships/hyperlink" Target="https://app.layer3.xyz/quests/deposit-to-spark-savings-vault" TargetMode="External"/><Relationship Id="rId9" Type="http://schemas.openxmlformats.org/officeDocument/2006/relationships/hyperlink" Target="https://app.layer3.xyz/quests/berachain-ecosystem-welcome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app.layer3.xyz/quests/cubes-on-berachain" TargetMode="External"/><Relationship Id="rId3" Type="http://schemas.openxmlformats.org/officeDocument/2006/relationships/hyperlink" Target="https://app.layer3.xyz/quests/berachain-ecosystem-kyberswap" TargetMode="External"/><Relationship Id="rId7" Type="http://schemas.openxmlformats.org/officeDocument/2006/relationships/hyperlink" Target="https://app.layer3.xyz/quests/berachain-ecosystem-jumper" TargetMode="External"/><Relationship Id="rId2" Type="http://schemas.openxmlformats.org/officeDocument/2006/relationships/hyperlink" Target="https://app.layer3.xyz/quests/welcome-to-spark" TargetMode="External"/><Relationship Id="rId1" Type="http://schemas.openxmlformats.org/officeDocument/2006/relationships/hyperlink" Target="https://app.layer3.xyz/quests/ink-mastery-introduction" TargetMode="External"/><Relationship Id="rId6" Type="http://schemas.openxmlformats.org/officeDocument/2006/relationships/hyperlink" Target="https://app.layer3.xyz/quests/polygon-maxi-stablecoin-enjoyer" TargetMode="External"/><Relationship Id="rId5" Type="http://schemas.openxmlformats.org/officeDocument/2006/relationships/hyperlink" Target="https://app.layer3.xyz/quests/superchain-base" TargetMode="External"/><Relationship Id="rId10" Type="http://schemas.openxmlformats.org/officeDocument/2006/relationships/hyperlink" Target="https://app.layer3.xyz/quests/berachain-ecosystem-stargate" TargetMode="External"/><Relationship Id="rId4" Type="http://schemas.openxmlformats.org/officeDocument/2006/relationships/hyperlink" Target="https://app.layer3.xyz/quests/deposit-to-spark-savings-vault" TargetMode="External"/><Relationship Id="rId9" Type="http://schemas.openxmlformats.org/officeDocument/2006/relationships/hyperlink" Target="https://app.layer3.xyz/quests/berachain-ecosystem-welcome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galxe.com/quest/TitanNetwork/GCv39tpzhh" TargetMode="External"/><Relationship Id="rId2" Type="http://schemas.openxmlformats.org/officeDocument/2006/relationships/hyperlink" Target="https://app.galxe.com/quest/UntitledBank/GCwELtp5Vp" TargetMode="External"/><Relationship Id="rId1" Type="http://schemas.openxmlformats.org/officeDocument/2006/relationships/hyperlink" Target="https://app.galxe.com/quest/sake/GCgn2tpVJy" TargetMode="External"/><Relationship Id="rId5" Type="http://schemas.openxmlformats.org/officeDocument/2006/relationships/hyperlink" Target="https://app.galxe.com/quest/NFTFeed/GCnr8t1Q6B" TargetMode="External"/><Relationship Id="rId4" Type="http://schemas.openxmlformats.org/officeDocument/2006/relationships/hyperlink" Target="https://app.galxe.com/quest/Nexa/GC4DZt1ygP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galxe.com/quest/TitanNetwork/GCv39tpzhh" TargetMode="External"/><Relationship Id="rId2" Type="http://schemas.openxmlformats.org/officeDocument/2006/relationships/hyperlink" Target="https://app.galxe.com/quest/UntitledBank/GCwELtp5Vp" TargetMode="External"/><Relationship Id="rId1" Type="http://schemas.openxmlformats.org/officeDocument/2006/relationships/hyperlink" Target="https://app.galxe.com/quest/sake/GCgn2tpVJy" TargetMode="External"/><Relationship Id="rId5" Type="http://schemas.openxmlformats.org/officeDocument/2006/relationships/hyperlink" Target="https://app.galxe.com/quest/NFTFeed/GCnr8t1Q6B" TargetMode="External"/><Relationship Id="rId4" Type="http://schemas.openxmlformats.org/officeDocument/2006/relationships/hyperlink" Target="https://app.galxe.com/quest/Nexa/GC4DZt1ygP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galxe.com/quest/KataraAI/GC2UZt1qLB" TargetMode="External"/><Relationship Id="rId2" Type="http://schemas.openxmlformats.org/officeDocument/2006/relationships/hyperlink" Target="https://app.galxe.com/quest/EarnOS/GCKrVt1CUJ" TargetMode="External"/><Relationship Id="rId1" Type="http://schemas.openxmlformats.org/officeDocument/2006/relationships/hyperlink" Target="https://app.galxe.com/quest/Kryll/GCjjYt1fux" TargetMode="External"/><Relationship Id="rId5" Type="http://schemas.openxmlformats.org/officeDocument/2006/relationships/hyperlink" Target="https://app.galxe.com/quest/apeironnft/GC6Npt1rpr" TargetMode="External"/><Relationship Id="rId4" Type="http://schemas.openxmlformats.org/officeDocument/2006/relationships/hyperlink" Target="https://app.galxe.com/quest/apeironnft/GCMeft1Nk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5664A-9D64-3445-9B23-985FB9690DF1}">
  <dimension ref="A1:B11"/>
  <sheetViews>
    <sheetView workbookViewId="0">
      <selection activeCell="D12" sqref="D12"/>
    </sheetView>
  </sheetViews>
  <sheetFormatPr baseColWidth="10" defaultRowHeight="16" x14ac:dyDescent="0.2"/>
  <sheetData>
    <row r="1" spans="1:2" x14ac:dyDescent="0.2">
      <c r="A1" s="1" t="s">
        <v>0</v>
      </c>
      <c r="B1" s="1" t="s">
        <v>1</v>
      </c>
    </row>
    <row r="2" spans="1:2" x14ac:dyDescent="0.2">
      <c r="A2" s="1">
        <v>22703</v>
      </c>
      <c r="B2" s="1">
        <v>40.880000000000003</v>
      </c>
    </row>
    <row r="3" spans="1:2" x14ac:dyDescent="0.2">
      <c r="A3" s="1">
        <v>19345</v>
      </c>
      <c r="B3" s="1">
        <v>43.74</v>
      </c>
    </row>
    <row r="4" spans="1:2" x14ac:dyDescent="0.2">
      <c r="A4" s="1">
        <v>18822</v>
      </c>
      <c r="B4" s="1">
        <v>34.26</v>
      </c>
    </row>
    <row r="5" spans="1:2" x14ac:dyDescent="0.2">
      <c r="A5" s="1">
        <v>22693</v>
      </c>
      <c r="B5" s="1">
        <v>39.67</v>
      </c>
    </row>
    <row r="6" spans="1:2" x14ac:dyDescent="0.2">
      <c r="A6" s="1">
        <v>23057</v>
      </c>
      <c r="B6" s="1">
        <v>46.13</v>
      </c>
    </row>
    <row r="7" spans="1:2" x14ac:dyDescent="0.2">
      <c r="A7" s="1">
        <v>18654</v>
      </c>
      <c r="B7" s="1">
        <v>29.19</v>
      </c>
    </row>
    <row r="8" spans="1:2" x14ac:dyDescent="0.2">
      <c r="A8" s="1">
        <v>18664</v>
      </c>
      <c r="B8" s="1">
        <v>30.83</v>
      </c>
    </row>
    <row r="9" spans="1:2" x14ac:dyDescent="0.2">
      <c r="A9" s="1">
        <v>19640</v>
      </c>
      <c r="B9" s="1">
        <v>57.77</v>
      </c>
    </row>
    <row r="10" spans="1:2" x14ac:dyDescent="0.2">
      <c r="A10" s="1">
        <v>18717</v>
      </c>
      <c r="B10" s="1">
        <v>30.99</v>
      </c>
    </row>
    <row r="11" spans="1:2" x14ac:dyDescent="0.2">
      <c r="A11" s="1">
        <v>13109</v>
      </c>
      <c r="B11" s="1">
        <v>21.82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EF1A4-89F8-F743-B601-87F9579C2F5C}">
  <dimension ref="A1:B11"/>
  <sheetViews>
    <sheetView workbookViewId="0">
      <selection activeCell="A11" sqref="A11"/>
    </sheetView>
  </sheetViews>
  <sheetFormatPr baseColWidth="10" defaultRowHeight="16" x14ac:dyDescent="0.2"/>
  <sheetData>
    <row r="1" spans="1:2" x14ac:dyDescent="0.2">
      <c r="A1" s="1" t="s">
        <v>0</v>
      </c>
      <c r="B1" s="1" t="s">
        <v>1</v>
      </c>
    </row>
    <row r="2" spans="1:2" x14ac:dyDescent="0.2">
      <c r="A2" s="1">
        <v>9062</v>
      </c>
      <c r="B2" s="1">
        <v>10.94</v>
      </c>
    </row>
    <row r="3" spans="1:2" x14ac:dyDescent="0.2">
      <c r="A3" s="1">
        <v>18453</v>
      </c>
      <c r="B3" s="1">
        <v>16.79</v>
      </c>
    </row>
    <row r="4" spans="1:2" x14ac:dyDescent="0.2">
      <c r="A4" s="1">
        <v>18335</v>
      </c>
      <c r="B4" s="1">
        <v>15.92</v>
      </c>
    </row>
    <row r="5" spans="1:2" x14ac:dyDescent="0.2">
      <c r="A5" s="1">
        <v>18388</v>
      </c>
      <c r="B5" s="1">
        <v>19.21</v>
      </c>
    </row>
    <row r="6" spans="1:2" x14ac:dyDescent="0.2">
      <c r="A6" s="1">
        <v>12800</v>
      </c>
      <c r="B6" s="1">
        <v>11.91</v>
      </c>
    </row>
    <row r="7" spans="1:2" x14ac:dyDescent="0.2">
      <c r="A7" s="1">
        <v>12880</v>
      </c>
      <c r="B7" s="1">
        <v>13</v>
      </c>
    </row>
    <row r="8" spans="1:2" x14ac:dyDescent="0.2">
      <c r="A8" s="1">
        <v>8984</v>
      </c>
      <c r="B8" s="1">
        <v>8.19</v>
      </c>
    </row>
    <row r="9" spans="1:2" x14ac:dyDescent="0.2">
      <c r="A9" s="1">
        <v>12794</v>
      </c>
      <c r="B9" s="1">
        <v>12.92</v>
      </c>
    </row>
    <row r="10" spans="1:2" x14ac:dyDescent="0.2">
      <c r="A10" s="1">
        <v>9096</v>
      </c>
      <c r="B10" s="1">
        <v>7.42</v>
      </c>
    </row>
    <row r="11" spans="1:2" x14ac:dyDescent="0.2">
      <c r="A11" s="1">
        <v>12732</v>
      </c>
      <c r="B11" s="1">
        <v>10.88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1D978-19F4-BD43-8961-3DEC6B7C3886}">
  <dimension ref="A1:B11"/>
  <sheetViews>
    <sheetView workbookViewId="0">
      <selection activeCell="K4" sqref="K4"/>
    </sheetView>
  </sheetViews>
  <sheetFormatPr baseColWidth="10" defaultRowHeight="16" x14ac:dyDescent="0.2"/>
  <sheetData>
    <row r="1" spans="1:2" x14ac:dyDescent="0.2">
      <c r="A1" s="1" t="s">
        <v>0</v>
      </c>
      <c r="B1" s="1" t="s">
        <v>1</v>
      </c>
    </row>
    <row r="2" spans="1:2" x14ac:dyDescent="0.2">
      <c r="A2" s="1">
        <v>55787</v>
      </c>
      <c r="B2" s="1">
        <v>159.41999999999999</v>
      </c>
    </row>
    <row r="3" spans="1:2" x14ac:dyDescent="0.2">
      <c r="A3" s="1">
        <v>56050</v>
      </c>
      <c r="B3" s="1">
        <v>140.94</v>
      </c>
    </row>
    <row r="4" spans="1:2" x14ac:dyDescent="0.2">
      <c r="A4" s="1">
        <v>61894</v>
      </c>
      <c r="B4" s="1">
        <v>164.87</v>
      </c>
    </row>
    <row r="5" spans="1:2" x14ac:dyDescent="0.2">
      <c r="A5" s="1">
        <v>56395</v>
      </c>
      <c r="B5" s="1">
        <v>162.63999999999999</v>
      </c>
    </row>
    <row r="6" spans="1:2" x14ac:dyDescent="0.2">
      <c r="A6" s="1">
        <v>56247</v>
      </c>
      <c r="B6" s="1">
        <v>153.76</v>
      </c>
    </row>
    <row r="7" spans="1:2" x14ac:dyDescent="0.2">
      <c r="A7" s="1">
        <v>56447</v>
      </c>
      <c r="B7" s="1">
        <v>163.80000000000001</v>
      </c>
    </row>
    <row r="8" spans="1:2" x14ac:dyDescent="0.2">
      <c r="A8" s="1">
        <v>56039</v>
      </c>
      <c r="B8" s="1">
        <v>162.04</v>
      </c>
    </row>
    <row r="9" spans="1:2" x14ac:dyDescent="0.2">
      <c r="A9" s="1">
        <v>59563</v>
      </c>
      <c r="B9" s="1">
        <v>160.87</v>
      </c>
    </row>
    <row r="10" spans="1:2" x14ac:dyDescent="0.2">
      <c r="A10" s="1">
        <v>56449</v>
      </c>
      <c r="B10" s="1">
        <v>161.19999999999999</v>
      </c>
    </row>
    <row r="11" spans="1:2" x14ac:dyDescent="0.2">
      <c r="A11" s="1">
        <v>77289</v>
      </c>
      <c r="B11" s="1">
        <v>154.68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12A95-E49C-A94F-B117-E0A32F8A0FA8}">
  <dimension ref="A1:B11"/>
  <sheetViews>
    <sheetView workbookViewId="0"/>
  </sheetViews>
  <sheetFormatPr baseColWidth="10" defaultRowHeight="16" x14ac:dyDescent="0.2"/>
  <sheetData>
    <row r="1" spans="1:2" x14ac:dyDescent="0.2">
      <c r="A1" s="1" t="s">
        <v>0</v>
      </c>
      <c r="B1" s="1" t="s">
        <v>1</v>
      </c>
    </row>
    <row r="2" spans="1:2" x14ac:dyDescent="0.2">
      <c r="A2" s="1">
        <v>53627</v>
      </c>
      <c r="B2" s="1">
        <v>61.5</v>
      </c>
    </row>
    <row r="3" spans="1:2" x14ac:dyDescent="0.2">
      <c r="A3" s="1">
        <v>64684</v>
      </c>
      <c r="B3" s="1">
        <v>71.5</v>
      </c>
    </row>
    <row r="4" spans="1:2" x14ac:dyDescent="0.2">
      <c r="A4" s="1">
        <v>86468</v>
      </c>
      <c r="B4" s="1">
        <v>92</v>
      </c>
    </row>
    <row r="5" spans="1:2" x14ac:dyDescent="0.2">
      <c r="A5" s="1">
        <v>53763</v>
      </c>
      <c r="B5" s="1">
        <v>70.52</v>
      </c>
    </row>
    <row r="6" spans="1:2" x14ac:dyDescent="0.2">
      <c r="A6" s="1">
        <v>83405</v>
      </c>
      <c r="B6" s="1">
        <v>119.68</v>
      </c>
    </row>
    <row r="7" spans="1:2" x14ac:dyDescent="0.2">
      <c r="A7" s="1">
        <v>53589</v>
      </c>
      <c r="B7" s="1">
        <v>57.73</v>
      </c>
    </row>
    <row r="8" spans="1:2" x14ac:dyDescent="0.2">
      <c r="A8" s="1">
        <v>52712</v>
      </c>
      <c r="B8" s="1">
        <v>58.88</v>
      </c>
    </row>
    <row r="9" spans="1:2" x14ac:dyDescent="0.2">
      <c r="A9" s="1">
        <v>47708</v>
      </c>
      <c r="B9" s="1">
        <v>62.36</v>
      </c>
    </row>
    <row r="10" spans="1:2" x14ac:dyDescent="0.2">
      <c r="A10" s="1">
        <v>53460</v>
      </c>
      <c r="B10" s="1">
        <v>66.69</v>
      </c>
    </row>
    <row r="11" spans="1:2" x14ac:dyDescent="0.2">
      <c r="A11" s="1">
        <v>53165</v>
      </c>
      <c r="B11" s="1">
        <v>62.3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2DC7C-DD6D-F449-B602-EC73894052E9}">
  <dimension ref="A1:B11"/>
  <sheetViews>
    <sheetView workbookViewId="0">
      <selection activeCell="J26" sqref="J26"/>
    </sheetView>
  </sheetViews>
  <sheetFormatPr baseColWidth="10" defaultRowHeight="16" x14ac:dyDescent="0.2"/>
  <sheetData>
    <row r="1" spans="1:2" x14ac:dyDescent="0.2">
      <c r="A1" s="1" t="s">
        <v>0</v>
      </c>
      <c r="B1" s="1" t="s">
        <v>1</v>
      </c>
    </row>
    <row r="2" spans="1:2" x14ac:dyDescent="0.2">
      <c r="A2" s="1">
        <v>20968</v>
      </c>
      <c r="B2" s="1">
        <v>50.97</v>
      </c>
    </row>
    <row r="3" spans="1:2" x14ac:dyDescent="0.2">
      <c r="A3" s="1">
        <v>20804</v>
      </c>
      <c r="B3" s="1">
        <v>51.46</v>
      </c>
    </row>
    <row r="4" spans="1:2" x14ac:dyDescent="0.2">
      <c r="A4" s="1">
        <v>20380</v>
      </c>
      <c r="B4" s="1">
        <v>51.05</v>
      </c>
    </row>
    <row r="5" spans="1:2" x14ac:dyDescent="0.2">
      <c r="A5" s="1">
        <v>20654</v>
      </c>
      <c r="B5" s="1">
        <v>48.61</v>
      </c>
    </row>
    <row r="6" spans="1:2" x14ac:dyDescent="0.2">
      <c r="A6" s="1">
        <v>20952</v>
      </c>
      <c r="B6" s="1">
        <v>55.35</v>
      </c>
    </row>
    <row r="7" spans="1:2" x14ac:dyDescent="0.2">
      <c r="A7" s="1">
        <v>21014</v>
      </c>
      <c r="B7" s="1">
        <v>51.23</v>
      </c>
    </row>
    <row r="8" spans="1:2" x14ac:dyDescent="0.2">
      <c r="A8" s="1">
        <v>22532</v>
      </c>
      <c r="B8" s="1">
        <v>59.25</v>
      </c>
    </row>
    <row r="9" spans="1:2" x14ac:dyDescent="0.2">
      <c r="A9" s="1">
        <v>21027</v>
      </c>
      <c r="B9" s="1">
        <v>52.04</v>
      </c>
    </row>
    <row r="10" spans="1:2" x14ac:dyDescent="0.2">
      <c r="A10" s="1">
        <v>16581</v>
      </c>
      <c r="B10" s="1">
        <v>40.22</v>
      </c>
    </row>
    <row r="11" spans="1:2" x14ac:dyDescent="0.2">
      <c r="A11" s="1">
        <v>16661</v>
      </c>
      <c r="B11" s="1">
        <v>44.62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CE084-7AAB-7E41-B001-B5E1021549F4}">
  <dimension ref="A1:B11"/>
  <sheetViews>
    <sheetView workbookViewId="0">
      <selection sqref="A1:B11"/>
    </sheetView>
  </sheetViews>
  <sheetFormatPr baseColWidth="10" defaultRowHeight="16" x14ac:dyDescent="0.2"/>
  <sheetData>
    <row r="1" spans="1:2" x14ac:dyDescent="0.2">
      <c r="A1" s="1" t="s">
        <v>0</v>
      </c>
      <c r="B1" s="1" t="s">
        <v>1</v>
      </c>
    </row>
    <row r="2" spans="1:2" x14ac:dyDescent="0.2">
      <c r="A2" s="1">
        <v>12981</v>
      </c>
      <c r="B2" s="1">
        <v>28.72</v>
      </c>
    </row>
    <row r="3" spans="1:2" x14ac:dyDescent="0.2">
      <c r="A3" s="1">
        <v>13035</v>
      </c>
      <c r="B3" s="1">
        <v>24.1</v>
      </c>
    </row>
    <row r="4" spans="1:2" x14ac:dyDescent="0.2">
      <c r="A4" s="1">
        <v>18286</v>
      </c>
      <c r="B4" s="1">
        <v>27.92</v>
      </c>
    </row>
    <row r="5" spans="1:2" x14ac:dyDescent="0.2">
      <c r="A5" s="1">
        <v>12552</v>
      </c>
      <c r="B5" s="1">
        <v>22.63</v>
      </c>
    </row>
    <row r="6" spans="1:2" x14ac:dyDescent="0.2">
      <c r="A6" s="1">
        <v>12628</v>
      </c>
      <c r="B6" s="1">
        <v>21.07</v>
      </c>
    </row>
    <row r="7" spans="1:2" x14ac:dyDescent="0.2">
      <c r="A7" s="1">
        <v>12976</v>
      </c>
      <c r="B7" s="1">
        <v>23.23</v>
      </c>
    </row>
    <row r="8" spans="1:2" x14ac:dyDescent="0.2">
      <c r="A8" s="1">
        <v>12932</v>
      </c>
      <c r="B8" s="1">
        <v>21.11</v>
      </c>
    </row>
    <row r="9" spans="1:2" x14ac:dyDescent="0.2">
      <c r="A9" s="1">
        <v>12994</v>
      </c>
      <c r="B9" s="1">
        <v>24.24</v>
      </c>
    </row>
    <row r="10" spans="1:2" x14ac:dyDescent="0.2">
      <c r="A10" s="1">
        <v>13047</v>
      </c>
      <c r="B10" s="1">
        <v>27.37</v>
      </c>
    </row>
    <row r="11" spans="1:2" x14ac:dyDescent="0.2">
      <c r="A11" s="1">
        <v>12800</v>
      </c>
      <c r="B11" s="1">
        <v>23.92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7BD00-E567-4646-AB14-9F7DB8861BF8}">
  <dimension ref="A1:B11"/>
  <sheetViews>
    <sheetView workbookViewId="0">
      <selection activeCell="R26" sqref="R26"/>
    </sheetView>
  </sheetViews>
  <sheetFormatPr baseColWidth="10" defaultRowHeight="16" x14ac:dyDescent="0.2"/>
  <sheetData>
    <row r="1" spans="1:2" x14ac:dyDescent="0.2">
      <c r="A1" s="1" t="s">
        <v>0</v>
      </c>
      <c r="B1" s="1" t="s">
        <v>1</v>
      </c>
    </row>
    <row r="2" spans="1:2" x14ac:dyDescent="0.2">
      <c r="A2" s="1">
        <v>60903</v>
      </c>
      <c r="B2" s="1">
        <v>132.63</v>
      </c>
    </row>
    <row r="3" spans="1:2" x14ac:dyDescent="0.2">
      <c r="A3" s="1">
        <v>52793</v>
      </c>
      <c r="B3" s="1">
        <v>115.37</v>
      </c>
    </row>
    <row r="4" spans="1:2" x14ac:dyDescent="0.2">
      <c r="A4" s="1">
        <v>46232</v>
      </c>
      <c r="B4" s="1">
        <v>109.1</v>
      </c>
    </row>
    <row r="5" spans="1:2" x14ac:dyDescent="0.2">
      <c r="A5" s="1">
        <v>59829</v>
      </c>
      <c r="B5" s="1">
        <v>123.46</v>
      </c>
    </row>
    <row r="6" spans="1:2" x14ac:dyDescent="0.2">
      <c r="A6" s="1">
        <v>51947</v>
      </c>
      <c r="B6" s="1">
        <v>112.09</v>
      </c>
    </row>
    <row r="7" spans="1:2" x14ac:dyDescent="0.2">
      <c r="A7" s="1">
        <v>53620</v>
      </c>
      <c r="B7" s="1">
        <v>119.73</v>
      </c>
    </row>
    <row r="8" spans="1:2" x14ac:dyDescent="0.2">
      <c r="A8" s="1">
        <v>45961</v>
      </c>
      <c r="B8" s="1">
        <v>109.58</v>
      </c>
    </row>
    <row r="9" spans="1:2" x14ac:dyDescent="0.2">
      <c r="A9" s="1">
        <v>39040</v>
      </c>
      <c r="B9" s="1">
        <v>96.87</v>
      </c>
    </row>
    <row r="10" spans="1:2" x14ac:dyDescent="0.2">
      <c r="A10" s="1">
        <v>52579</v>
      </c>
      <c r="B10" s="1">
        <v>123.32</v>
      </c>
    </row>
    <row r="11" spans="1:2" x14ac:dyDescent="0.2">
      <c r="A11" s="1">
        <v>76937</v>
      </c>
      <c r="B11" s="1">
        <v>164.4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DCD6-CFCC-F646-A540-24E4DB4121FC}">
  <dimension ref="A1:B11"/>
  <sheetViews>
    <sheetView workbookViewId="0">
      <selection activeCell="O26" sqref="O26"/>
    </sheetView>
  </sheetViews>
  <sheetFormatPr baseColWidth="10" defaultRowHeight="16" x14ac:dyDescent="0.2"/>
  <sheetData>
    <row r="1" spans="1:2" x14ac:dyDescent="0.2">
      <c r="A1" s="1" t="s">
        <v>0</v>
      </c>
      <c r="B1" s="1" t="s">
        <v>1</v>
      </c>
    </row>
    <row r="2" spans="1:2" x14ac:dyDescent="0.2">
      <c r="A2" s="1">
        <v>67072</v>
      </c>
      <c r="B2" s="1">
        <v>98.66</v>
      </c>
    </row>
    <row r="3" spans="1:2" x14ac:dyDescent="0.2">
      <c r="A3" s="1">
        <v>87874</v>
      </c>
      <c r="B3" s="1">
        <v>114.38</v>
      </c>
    </row>
    <row r="4" spans="1:2" x14ac:dyDescent="0.2">
      <c r="A4" s="1">
        <v>41888</v>
      </c>
      <c r="B4" s="1">
        <v>59.8</v>
      </c>
    </row>
    <row r="5" spans="1:2" x14ac:dyDescent="0.2">
      <c r="A5" s="1">
        <v>76981</v>
      </c>
      <c r="B5" s="1">
        <v>122.21</v>
      </c>
    </row>
    <row r="6" spans="1:2" x14ac:dyDescent="0.2">
      <c r="A6" s="1">
        <v>69065</v>
      </c>
      <c r="B6" s="1">
        <v>104.86</v>
      </c>
    </row>
    <row r="7" spans="1:2" x14ac:dyDescent="0.2">
      <c r="A7" s="1">
        <v>85200</v>
      </c>
      <c r="B7" s="1">
        <v>122.33</v>
      </c>
    </row>
    <row r="8" spans="1:2" x14ac:dyDescent="0.2">
      <c r="A8" s="1">
        <v>70439</v>
      </c>
      <c r="B8" s="1">
        <v>113.69</v>
      </c>
    </row>
    <row r="9" spans="1:2" x14ac:dyDescent="0.2">
      <c r="A9" s="1">
        <v>71051</v>
      </c>
      <c r="B9" s="1">
        <v>116.17</v>
      </c>
    </row>
    <row r="10" spans="1:2" x14ac:dyDescent="0.2">
      <c r="A10" s="1">
        <v>43020</v>
      </c>
      <c r="B10" s="1">
        <v>60.03</v>
      </c>
    </row>
    <row r="11" spans="1:2" x14ac:dyDescent="0.2">
      <c r="A11" s="1">
        <v>70854</v>
      </c>
      <c r="B11" s="1">
        <v>109.98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DB110-86FA-7642-8276-6C5B1BD048E0}">
  <dimension ref="A1:O20"/>
  <sheetViews>
    <sheetView tabSelected="1" zoomScale="125" workbookViewId="0">
      <selection activeCell="B11" sqref="B11"/>
    </sheetView>
  </sheetViews>
  <sheetFormatPr baseColWidth="10" defaultRowHeight="16" x14ac:dyDescent="0.2"/>
  <cols>
    <col min="1" max="1" width="53.33203125" bestFit="1" customWidth="1"/>
    <col min="2" max="2" width="53.33203125" customWidth="1"/>
    <col min="3" max="3" width="23.5" customWidth="1"/>
    <col min="4" max="10" width="33.5" customWidth="1"/>
    <col min="11" max="14" width="31.5" customWidth="1"/>
    <col min="15" max="15" width="66" customWidth="1"/>
  </cols>
  <sheetData>
    <row r="1" spans="1:15" x14ac:dyDescent="0.2">
      <c r="A1" s="1" t="s">
        <v>2</v>
      </c>
      <c r="B1" s="1" t="s">
        <v>139</v>
      </c>
      <c r="C1" s="1" t="s">
        <v>3</v>
      </c>
      <c r="D1" s="1" t="s">
        <v>4</v>
      </c>
      <c r="E1" s="1" t="s">
        <v>54</v>
      </c>
      <c r="F1" s="1" t="s">
        <v>55</v>
      </c>
      <c r="G1" s="1" t="s">
        <v>56</v>
      </c>
      <c r="H1" s="1" t="s">
        <v>51</v>
      </c>
      <c r="I1" s="1" t="s">
        <v>52</v>
      </c>
      <c r="J1" s="1" t="s">
        <v>53</v>
      </c>
      <c r="K1" s="1" t="s">
        <v>5</v>
      </c>
      <c r="L1" s="1" t="s">
        <v>80</v>
      </c>
      <c r="M1" s="1" t="s">
        <v>81</v>
      </c>
      <c r="N1" s="1" t="s">
        <v>124</v>
      </c>
      <c r="O1" s="1" t="s">
        <v>6</v>
      </c>
    </row>
    <row r="2" spans="1:15" ht="57" x14ac:dyDescent="0.2">
      <c r="A2" s="2" t="s">
        <v>8</v>
      </c>
      <c r="B2" s="3" t="s">
        <v>129</v>
      </c>
      <c r="C2" s="3" t="s">
        <v>9</v>
      </c>
      <c r="D2" s="3" t="s">
        <v>10</v>
      </c>
      <c r="E2" s="3">
        <v>121568</v>
      </c>
      <c r="F2" s="3">
        <v>9382</v>
      </c>
      <c r="G2" s="3">
        <v>11572</v>
      </c>
      <c r="H2" s="3">
        <v>205.54</v>
      </c>
      <c r="I2" s="3">
        <v>35.04</v>
      </c>
      <c r="J2" s="3">
        <v>28.81</v>
      </c>
      <c r="K2" s="3" t="s">
        <v>11</v>
      </c>
      <c r="L2" s="3">
        <v>4</v>
      </c>
      <c r="M2" s="3">
        <v>4</v>
      </c>
      <c r="N2" s="3">
        <f>SUM(H2:J2)</f>
        <v>269.39</v>
      </c>
      <c r="O2" s="1" t="s">
        <v>7</v>
      </c>
    </row>
    <row r="3" spans="1:15" ht="43" x14ac:dyDescent="0.2">
      <c r="A3" s="2" t="s">
        <v>12</v>
      </c>
      <c r="B3" s="3" t="s">
        <v>130</v>
      </c>
      <c r="C3" s="3" t="s">
        <v>13</v>
      </c>
      <c r="D3" s="3" t="s">
        <v>14</v>
      </c>
      <c r="E3" s="3">
        <v>159090</v>
      </c>
      <c r="F3" s="3">
        <v>9373</v>
      </c>
      <c r="G3" s="3">
        <v>7260</v>
      </c>
      <c r="H3" s="3">
        <v>278.63</v>
      </c>
      <c r="I3" s="3">
        <v>29.05</v>
      </c>
      <c r="J3" s="3">
        <v>22.77</v>
      </c>
      <c r="K3" s="3" t="s">
        <v>15</v>
      </c>
      <c r="L3" s="3">
        <v>2</v>
      </c>
      <c r="M3" s="3">
        <v>2</v>
      </c>
      <c r="N3" s="3">
        <f>SUM(H3:J3)</f>
        <v>330.45</v>
      </c>
      <c r="O3" s="1" t="s">
        <v>7</v>
      </c>
    </row>
    <row r="4" spans="1:15" ht="57" x14ac:dyDescent="0.2">
      <c r="A4" s="2" t="s">
        <v>16</v>
      </c>
      <c r="B4" s="3" t="s">
        <v>131</v>
      </c>
      <c r="C4" s="3" t="s">
        <v>17</v>
      </c>
      <c r="D4" s="3" t="s">
        <v>18</v>
      </c>
      <c r="E4" s="3">
        <v>148173</v>
      </c>
      <c r="F4" s="3">
        <v>22991</v>
      </c>
      <c r="G4" s="3">
        <v>21156</v>
      </c>
      <c r="H4" s="3">
        <v>276.02999999999997</v>
      </c>
      <c r="I4" s="3">
        <v>56.74</v>
      </c>
      <c r="J4" s="3">
        <v>49.63</v>
      </c>
      <c r="K4" s="3" t="s">
        <v>19</v>
      </c>
      <c r="L4" s="3">
        <v>3</v>
      </c>
      <c r="M4" s="3">
        <v>3</v>
      </c>
      <c r="N4" s="3">
        <f t="shared" ref="N4:N10" si="0">SUM(H4:J4)</f>
        <v>382.4</v>
      </c>
      <c r="O4" s="1" t="s">
        <v>20</v>
      </c>
    </row>
    <row r="5" spans="1:15" ht="57" x14ac:dyDescent="0.2">
      <c r="A5" s="2" t="s">
        <v>21</v>
      </c>
      <c r="B5" s="3" t="s">
        <v>132</v>
      </c>
      <c r="C5" s="3" t="s">
        <v>22</v>
      </c>
      <c r="D5" s="3" t="s">
        <v>23</v>
      </c>
      <c r="E5" s="3">
        <v>81512</v>
      </c>
      <c r="F5" s="3">
        <v>17442</v>
      </c>
      <c r="G5" s="3">
        <v>7426</v>
      </c>
      <c r="H5" s="3">
        <v>150.80000000000001</v>
      </c>
      <c r="I5" s="3">
        <v>42.69</v>
      </c>
      <c r="J5" s="3">
        <v>18.239999999999998</v>
      </c>
      <c r="K5" s="3" t="s">
        <v>24</v>
      </c>
      <c r="L5" s="3">
        <v>2</v>
      </c>
      <c r="M5" s="3">
        <v>3</v>
      </c>
      <c r="N5" s="3">
        <f>SUM(H5:J5)</f>
        <v>211.73000000000002</v>
      </c>
      <c r="O5" s="3" t="s">
        <v>25</v>
      </c>
    </row>
    <row r="6" spans="1:15" ht="43" x14ac:dyDescent="0.2">
      <c r="A6" s="2" t="s">
        <v>26</v>
      </c>
      <c r="B6" s="3" t="s">
        <v>133</v>
      </c>
      <c r="C6" s="3" t="s">
        <v>27</v>
      </c>
      <c r="D6" s="3" t="s">
        <v>28</v>
      </c>
      <c r="E6" s="3">
        <v>83327</v>
      </c>
      <c r="F6" s="3">
        <v>42940</v>
      </c>
      <c r="G6" s="3">
        <v>11456</v>
      </c>
      <c r="H6" s="3">
        <v>204.4</v>
      </c>
      <c r="I6" s="3">
        <v>99.17</v>
      </c>
      <c r="J6" s="3">
        <v>32.770000000000003</v>
      </c>
      <c r="K6" s="3" t="s">
        <v>29</v>
      </c>
      <c r="L6" s="3">
        <v>2</v>
      </c>
      <c r="M6" s="3">
        <v>2</v>
      </c>
      <c r="N6" s="3">
        <f>SUM(H6:J6)</f>
        <v>336.34</v>
      </c>
      <c r="O6" s="1"/>
    </row>
    <row r="7" spans="1:15" ht="57" x14ac:dyDescent="0.2">
      <c r="A7" s="2" t="s">
        <v>30</v>
      </c>
      <c r="B7" s="3" t="s">
        <v>134</v>
      </c>
      <c r="C7" s="3" t="s">
        <v>31</v>
      </c>
      <c r="D7" s="3" t="s">
        <v>32</v>
      </c>
      <c r="E7" s="3">
        <v>250412</v>
      </c>
      <c r="F7" s="3">
        <v>21714</v>
      </c>
      <c r="G7" s="3">
        <v>7381</v>
      </c>
      <c r="H7" s="3">
        <v>459.79</v>
      </c>
      <c r="I7" s="3">
        <v>53.33</v>
      </c>
      <c r="J7" s="3">
        <v>19.82</v>
      </c>
      <c r="K7" s="3" t="s">
        <v>33</v>
      </c>
      <c r="L7" s="3">
        <v>2</v>
      </c>
      <c r="M7" s="3">
        <v>3</v>
      </c>
      <c r="N7" s="3">
        <f>SUM(H7:J7)</f>
        <v>532.94000000000005</v>
      </c>
      <c r="O7" s="1" t="s">
        <v>34</v>
      </c>
    </row>
    <row r="8" spans="1:15" ht="43" x14ac:dyDescent="0.2">
      <c r="A8" s="2" t="s">
        <v>35</v>
      </c>
      <c r="B8" s="3" t="s">
        <v>135</v>
      </c>
      <c r="C8" s="3" t="s">
        <v>36</v>
      </c>
      <c r="D8" s="3" t="s">
        <v>37</v>
      </c>
      <c r="E8" s="3">
        <v>111317</v>
      </c>
      <c r="F8" s="3">
        <v>26849</v>
      </c>
      <c r="G8" s="3">
        <v>7442</v>
      </c>
      <c r="H8" s="3">
        <v>178.7</v>
      </c>
      <c r="I8" s="3">
        <v>78.680000000000007</v>
      </c>
      <c r="J8" s="3">
        <v>18.940000000000001</v>
      </c>
      <c r="K8" s="3" t="s">
        <v>38</v>
      </c>
      <c r="L8" s="3">
        <v>2</v>
      </c>
      <c r="M8" s="3">
        <v>2</v>
      </c>
      <c r="N8" s="3">
        <f t="shared" si="0"/>
        <v>276.32</v>
      </c>
      <c r="O8" s="1"/>
    </row>
    <row r="9" spans="1:15" ht="43" x14ac:dyDescent="0.2">
      <c r="A9" s="2" t="s">
        <v>39</v>
      </c>
      <c r="B9" s="3" t="s">
        <v>136</v>
      </c>
      <c r="C9" s="3" t="s">
        <v>40</v>
      </c>
      <c r="D9" s="3" t="s">
        <v>41</v>
      </c>
      <c r="E9" s="3">
        <v>92392</v>
      </c>
      <c r="F9" s="3">
        <v>13185</v>
      </c>
      <c r="G9" s="3">
        <v>7428</v>
      </c>
      <c r="H9" s="3">
        <v>156.03</v>
      </c>
      <c r="I9" s="3">
        <v>32.950000000000003</v>
      </c>
      <c r="J9" s="3">
        <v>19.29</v>
      </c>
      <c r="K9" s="3" t="s">
        <v>42</v>
      </c>
      <c r="L9" s="3">
        <v>3</v>
      </c>
      <c r="M9" s="3">
        <v>3</v>
      </c>
      <c r="N9" s="3">
        <f>SUM(H9:J9)</f>
        <v>208.27</v>
      </c>
      <c r="O9" s="1"/>
    </row>
    <row r="10" spans="1:15" ht="43" x14ac:dyDescent="0.2">
      <c r="A10" s="2" t="s">
        <v>43</v>
      </c>
      <c r="B10" s="3" t="s">
        <v>137</v>
      </c>
      <c r="C10" s="3" t="s">
        <v>44</v>
      </c>
      <c r="D10" s="3" t="s">
        <v>45</v>
      </c>
      <c r="E10" s="3">
        <v>130876</v>
      </c>
      <c r="F10" s="3">
        <v>22103</v>
      </c>
      <c r="G10" s="3">
        <v>11675</v>
      </c>
      <c r="H10" s="3">
        <v>180.37</v>
      </c>
      <c r="I10" s="3">
        <v>55.46</v>
      </c>
      <c r="J10" s="3">
        <v>32.35</v>
      </c>
      <c r="K10" s="3" t="s">
        <v>46</v>
      </c>
      <c r="L10" s="3">
        <v>3</v>
      </c>
      <c r="M10" s="3">
        <v>3</v>
      </c>
      <c r="N10" s="3">
        <f t="shared" si="0"/>
        <v>268.18</v>
      </c>
      <c r="O10" s="1"/>
    </row>
    <row r="11" spans="1:15" ht="71" x14ac:dyDescent="0.2">
      <c r="A11" s="2" t="s">
        <v>47</v>
      </c>
      <c r="B11" s="3" t="s">
        <v>138</v>
      </c>
      <c r="C11" s="3" t="s">
        <v>48</v>
      </c>
      <c r="D11" s="3" t="s">
        <v>49</v>
      </c>
      <c r="E11" s="3">
        <v>330641</v>
      </c>
      <c r="F11" s="3">
        <v>10336</v>
      </c>
      <c r="G11" s="3">
        <v>7777</v>
      </c>
      <c r="H11" s="3">
        <v>608.47</v>
      </c>
      <c r="I11" s="3">
        <v>31.26</v>
      </c>
      <c r="J11" s="3">
        <v>18.420000000000002</v>
      </c>
      <c r="K11" s="3" t="s">
        <v>50</v>
      </c>
      <c r="L11" s="3">
        <v>4</v>
      </c>
      <c r="M11" s="3">
        <v>4</v>
      </c>
      <c r="N11" s="3">
        <f>SUM(H11:J11)</f>
        <v>658.15</v>
      </c>
      <c r="O11" s="1" t="s">
        <v>20</v>
      </c>
    </row>
    <row r="12" spans="1:15" x14ac:dyDescent="0.2">
      <c r="N12" s="3"/>
    </row>
    <row r="13" spans="1:15" x14ac:dyDescent="0.2">
      <c r="N13" s="3"/>
    </row>
    <row r="14" spans="1:15" x14ac:dyDescent="0.2">
      <c r="N14" s="3"/>
    </row>
    <row r="15" spans="1:15" x14ac:dyDescent="0.2">
      <c r="N15" s="3"/>
    </row>
    <row r="16" spans="1:15" x14ac:dyDescent="0.2">
      <c r="N16" s="3"/>
    </row>
    <row r="17" spans="14:14" x14ac:dyDescent="0.2">
      <c r="N17" s="3"/>
    </row>
    <row r="18" spans="14:14" x14ac:dyDescent="0.2">
      <c r="N18" s="3"/>
    </row>
    <row r="19" spans="14:14" x14ac:dyDescent="0.2">
      <c r="N19" s="3"/>
    </row>
    <row r="20" spans="14:14" x14ac:dyDescent="0.2">
      <c r="N20" s="3"/>
    </row>
  </sheetData>
  <hyperlinks>
    <hyperlink ref="A2" r:id="rId1" xr:uid="{477575F5-30ED-2A4C-BE4F-6518A4DDA291}"/>
    <hyperlink ref="A3" r:id="rId2" xr:uid="{11E239D5-356F-8E41-81B8-674715DABDDF}"/>
    <hyperlink ref="A4" r:id="rId3" xr:uid="{8A21B833-22DD-044B-8E19-F153DC410480}"/>
    <hyperlink ref="A5" r:id="rId4" xr:uid="{8050A450-306B-9248-A474-CD987877F5D3}"/>
    <hyperlink ref="A6" r:id="rId5" xr:uid="{7D03A4A0-F17A-8640-9454-91EF27E94850}"/>
    <hyperlink ref="A7" r:id="rId6" xr:uid="{FAB776A8-0D70-EE4A-8C61-422C2DC42293}"/>
    <hyperlink ref="A8" r:id="rId7" xr:uid="{24F5D852-0A6D-124C-A05B-4E1D3F0F4223}"/>
    <hyperlink ref="A9" r:id="rId8" xr:uid="{D7E04902-FBB6-4240-9E42-7EB51101C78A}"/>
    <hyperlink ref="A10" r:id="rId9" xr:uid="{0723ECB8-B852-2841-9B75-A978B232F4FB}"/>
    <hyperlink ref="A11" r:id="rId10" xr:uid="{ECF48DB4-408C-A54B-A8A5-401D2E16B313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4BD01-0827-F24C-A640-043422199DA0}">
  <dimension ref="A1:G11"/>
  <sheetViews>
    <sheetView workbookViewId="0">
      <selection activeCell="C20" sqref="C20"/>
    </sheetView>
  </sheetViews>
  <sheetFormatPr baseColWidth="10" defaultRowHeight="16" x14ac:dyDescent="0.2"/>
  <cols>
    <col min="1" max="1" width="53.33203125" bestFit="1" customWidth="1"/>
    <col min="2" max="2" width="53.33203125" customWidth="1"/>
    <col min="3" max="3" width="23" customWidth="1"/>
    <col min="7" max="7" width="16" bestFit="1" customWidth="1"/>
  </cols>
  <sheetData>
    <row r="1" spans="1:7" x14ac:dyDescent="0.2">
      <c r="A1" s="5" t="s">
        <v>2</v>
      </c>
      <c r="B1" s="1" t="s">
        <v>139</v>
      </c>
      <c r="C1" s="5" t="s">
        <v>3</v>
      </c>
      <c r="D1" t="s">
        <v>125</v>
      </c>
      <c r="E1" t="s">
        <v>126</v>
      </c>
      <c r="F1" t="s">
        <v>127</v>
      </c>
      <c r="G1" t="s">
        <v>128</v>
      </c>
    </row>
    <row r="2" spans="1:7" ht="57" x14ac:dyDescent="0.2">
      <c r="A2" s="2" t="s">
        <v>8</v>
      </c>
      <c r="B2" s="3" t="s">
        <v>129</v>
      </c>
      <c r="C2" s="6" t="s">
        <v>9</v>
      </c>
      <c r="D2">
        <v>33.270000000000003</v>
      </c>
      <c r="E2">
        <v>31.65</v>
      </c>
      <c r="F2">
        <v>34.53</v>
      </c>
      <c r="G2">
        <f>AVERAGE(D2:F2)</f>
        <v>33.15</v>
      </c>
    </row>
    <row r="3" spans="1:7" ht="43" x14ac:dyDescent="0.2">
      <c r="A3" s="2" t="s">
        <v>12</v>
      </c>
      <c r="B3" s="3" t="s">
        <v>130</v>
      </c>
      <c r="C3" s="6" t="s">
        <v>13</v>
      </c>
      <c r="D3">
        <v>45.49</v>
      </c>
      <c r="E3">
        <v>43.9</v>
      </c>
      <c r="F3">
        <v>44.97</v>
      </c>
      <c r="G3" s="7">
        <f>AVERAGE(D3:F3)</f>
        <v>44.786666666666669</v>
      </c>
    </row>
    <row r="4" spans="1:7" ht="57" x14ac:dyDescent="0.2">
      <c r="A4" s="2" t="s">
        <v>16</v>
      </c>
      <c r="B4" s="3" t="s">
        <v>131</v>
      </c>
      <c r="C4" s="6" t="s">
        <v>17</v>
      </c>
      <c r="D4">
        <v>61.62</v>
      </c>
      <c r="E4">
        <v>62.76</v>
      </c>
      <c r="F4">
        <v>63.22</v>
      </c>
      <c r="G4" s="7">
        <f>AVERAGE(D4:F4)</f>
        <v>62.533333333333331</v>
      </c>
    </row>
    <row r="5" spans="1:7" ht="57" x14ac:dyDescent="0.2">
      <c r="A5" s="2" t="s">
        <v>21</v>
      </c>
      <c r="B5" s="3" t="s">
        <v>132</v>
      </c>
      <c r="C5" s="6" t="s">
        <v>22</v>
      </c>
      <c r="D5">
        <v>73.959999999999994</v>
      </c>
      <c r="E5">
        <v>72.12</v>
      </c>
      <c r="F5">
        <v>75.03</v>
      </c>
      <c r="G5" s="7">
        <f>AVERAGE(D5:F5)</f>
        <v>73.703333333333333</v>
      </c>
    </row>
    <row r="6" spans="1:7" ht="29" x14ac:dyDescent="0.2">
      <c r="A6" s="2" t="s">
        <v>26</v>
      </c>
      <c r="B6" s="3" t="s">
        <v>133</v>
      </c>
      <c r="C6" s="6" t="s">
        <v>27</v>
      </c>
      <c r="D6">
        <v>9.99</v>
      </c>
      <c r="E6">
        <v>8.65</v>
      </c>
      <c r="F6">
        <v>9.34</v>
      </c>
      <c r="G6" s="7">
        <f>AVERAGE(D6:F6)</f>
        <v>9.3266666666666662</v>
      </c>
    </row>
    <row r="7" spans="1:7" ht="57" x14ac:dyDescent="0.2">
      <c r="A7" s="2" t="s">
        <v>30</v>
      </c>
      <c r="B7" s="3" t="s">
        <v>134</v>
      </c>
      <c r="C7" s="6" t="s">
        <v>31</v>
      </c>
      <c r="D7">
        <v>11.4</v>
      </c>
      <c r="E7">
        <v>11.54</v>
      </c>
      <c r="F7">
        <v>10.98</v>
      </c>
      <c r="G7" s="7">
        <f t="shared" ref="G7:G11" si="0">AVERAGE(D7:F7)</f>
        <v>11.306666666666667</v>
      </c>
    </row>
    <row r="8" spans="1:7" ht="29" x14ac:dyDescent="0.2">
      <c r="A8" s="2" t="s">
        <v>35</v>
      </c>
      <c r="B8" s="3" t="s">
        <v>135</v>
      </c>
      <c r="C8" s="6" t="s">
        <v>36</v>
      </c>
      <c r="D8">
        <v>12.2</v>
      </c>
      <c r="E8">
        <v>11.89</v>
      </c>
      <c r="F8">
        <v>12.46</v>
      </c>
      <c r="G8" s="7">
        <f t="shared" si="0"/>
        <v>12.183333333333332</v>
      </c>
    </row>
    <row r="9" spans="1:7" ht="43" x14ac:dyDescent="0.2">
      <c r="A9" s="2" t="s">
        <v>39</v>
      </c>
      <c r="B9" s="3" t="s">
        <v>136</v>
      </c>
      <c r="C9" s="6" t="s">
        <v>40</v>
      </c>
      <c r="D9">
        <v>17.04</v>
      </c>
      <c r="E9">
        <v>17.07</v>
      </c>
      <c r="F9">
        <v>16.97</v>
      </c>
      <c r="G9" s="7">
        <f t="shared" si="0"/>
        <v>17.026666666666667</v>
      </c>
    </row>
    <row r="10" spans="1:7" ht="43" x14ac:dyDescent="0.2">
      <c r="A10" s="2" t="s">
        <v>43</v>
      </c>
      <c r="B10" s="3" t="s">
        <v>137</v>
      </c>
      <c r="C10" s="6" t="s">
        <v>44</v>
      </c>
      <c r="D10">
        <v>12.97</v>
      </c>
      <c r="E10">
        <v>13.22</v>
      </c>
      <c r="F10">
        <v>13.77</v>
      </c>
      <c r="G10" s="7">
        <f t="shared" si="0"/>
        <v>13.32</v>
      </c>
    </row>
    <row r="11" spans="1:7" ht="71" x14ac:dyDescent="0.2">
      <c r="A11" s="2" t="s">
        <v>47</v>
      </c>
      <c r="B11" s="3" t="s">
        <v>138</v>
      </c>
      <c r="C11" s="6" t="s">
        <v>48</v>
      </c>
      <c r="D11">
        <v>60.14</v>
      </c>
      <c r="E11">
        <v>61.28</v>
      </c>
      <c r="F11">
        <v>58.99</v>
      </c>
      <c r="G11" s="7">
        <f t="shared" si="0"/>
        <v>60.136666666666663</v>
      </c>
    </row>
  </sheetData>
  <phoneticPr fontId="3" type="noConversion"/>
  <hyperlinks>
    <hyperlink ref="A2" r:id="rId1" xr:uid="{1C7EA979-25A6-3E4E-BB1B-252AC940DC35}"/>
    <hyperlink ref="A3" r:id="rId2" xr:uid="{E8414323-D8AA-EE41-A792-7813D2C85DAC}"/>
    <hyperlink ref="A4" r:id="rId3" xr:uid="{2014F19E-07A5-4F46-8A51-544BDA35FC04}"/>
    <hyperlink ref="A5" r:id="rId4" xr:uid="{4BFF3E33-712E-0148-BCFB-4B232F179E1F}"/>
    <hyperlink ref="A6" r:id="rId5" xr:uid="{2EC9558B-724D-DF42-9829-5C8F8E5998A7}"/>
    <hyperlink ref="A7" r:id="rId6" xr:uid="{8DF53925-30E5-3D4F-BAAD-FBC61E38101D}"/>
    <hyperlink ref="A8" r:id="rId7" xr:uid="{55DA8BDC-4CEF-8B47-92B3-34D2A5E27091}"/>
    <hyperlink ref="A9" r:id="rId8" xr:uid="{38AA3C7C-D1B7-D64D-B1BF-9131AEF91DD2}"/>
    <hyperlink ref="A10" r:id="rId9" xr:uid="{6AF72F38-E625-D943-84CF-587EC4603A11}"/>
    <hyperlink ref="A11" r:id="rId10" xr:uid="{ADBAC159-DC3E-7040-B646-40EAA9019AB3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136D-EA47-0046-8F09-232180CBB3FF}">
  <dimension ref="A1:M11"/>
  <sheetViews>
    <sheetView zoomScale="130" zoomScaleNormal="130" workbookViewId="0">
      <selection sqref="A1:B11"/>
    </sheetView>
  </sheetViews>
  <sheetFormatPr baseColWidth="10" defaultRowHeight="16" x14ac:dyDescent="0.2"/>
  <cols>
    <col min="1" max="1" width="53.33203125" bestFit="1" customWidth="1"/>
    <col min="2" max="2" width="24.1640625" bestFit="1" customWidth="1"/>
    <col min="3" max="5" width="33.5" customWidth="1"/>
    <col min="6" max="6" width="26.1640625" bestFit="1" customWidth="1"/>
    <col min="7" max="9" width="33.5" customWidth="1"/>
    <col min="10" max="12" width="31.5" customWidth="1"/>
    <col min="13" max="13" width="66" customWidth="1"/>
  </cols>
  <sheetData>
    <row r="1" spans="1:13" x14ac:dyDescent="0.2">
      <c r="A1" s="1" t="s">
        <v>2</v>
      </c>
      <c r="B1" s="1" t="s">
        <v>3</v>
      </c>
      <c r="C1" s="1" t="s">
        <v>4</v>
      </c>
      <c r="D1" s="1" t="s">
        <v>54</v>
      </c>
      <c r="E1" s="1" t="s">
        <v>55</v>
      </c>
      <c r="F1" s="1" t="s">
        <v>56</v>
      </c>
      <c r="G1" s="1" t="s">
        <v>51</v>
      </c>
      <c r="H1" s="1" t="s">
        <v>52</v>
      </c>
      <c r="I1" s="1" t="s">
        <v>53</v>
      </c>
      <c r="J1" s="1" t="s">
        <v>5</v>
      </c>
      <c r="K1" s="1" t="s">
        <v>80</v>
      </c>
      <c r="L1" s="1" t="s">
        <v>81</v>
      </c>
      <c r="M1" s="1" t="s">
        <v>6</v>
      </c>
    </row>
    <row r="2" spans="1:13" ht="43" x14ac:dyDescent="0.2">
      <c r="A2" s="2" t="s">
        <v>121</v>
      </c>
      <c r="B2" s="3" t="s">
        <v>122</v>
      </c>
      <c r="C2" s="3"/>
      <c r="D2" s="3"/>
      <c r="E2" s="3"/>
      <c r="F2" s="3"/>
      <c r="G2" s="3"/>
      <c r="H2" s="3"/>
      <c r="I2" s="3"/>
      <c r="J2" s="3"/>
      <c r="K2" s="3">
        <v>0</v>
      </c>
      <c r="L2" s="3">
        <v>3</v>
      </c>
      <c r="M2" s="1" t="s">
        <v>123</v>
      </c>
    </row>
    <row r="3" spans="1:13" ht="43" x14ac:dyDescent="0.2">
      <c r="A3" s="2" t="s">
        <v>118</v>
      </c>
      <c r="B3" s="3" t="s">
        <v>119</v>
      </c>
      <c r="C3" s="3"/>
      <c r="D3" s="3"/>
      <c r="E3" s="3"/>
      <c r="F3" s="3"/>
      <c r="G3" s="3"/>
      <c r="H3" s="3"/>
      <c r="I3" s="3"/>
      <c r="J3" s="3"/>
      <c r="K3" s="3">
        <v>1</v>
      </c>
      <c r="L3" s="3">
        <v>3</v>
      </c>
      <c r="M3" s="1" t="s">
        <v>120</v>
      </c>
    </row>
    <row r="4" spans="1:13" ht="57" x14ac:dyDescent="0.2">
      <c r="A4" s="2" t="s">
        <v>115</v>
      </c>
      <c r="B4" s="3" t="s">
        <v>116</v>
      </c>
      <c r="C4" s="3"/>
      <c r="D4" s="3"/>
      <c r="E4" s="3"/>
      <c r="F4" s="3"/>
      <c r="G4" s="3"/>
      <c r="H4" s="3"/>
      <c r="I4" s="3"/>
      <c r="J4" s="3"/>
      <c r="K4" s="3">
        <v>2</v>
      </c>
      <c r="L4" s="3">
        <v>4</v>
      </c>
      <c r="M4" s="1" t="s">
        <v>117</v>
      </c>
    </row>
    <row r="5" spans="1:13" ht="43" x14ac:dyDescent="0.2">
      <c r="A5" s="2" t="s">
        <v>112</v>
      </c>
      <c r="B5" s="3" t="s">
        <v>113</v>
      </c>
      <c r="C5" s="3"/>
      <c r="D5" s="3"/>
      <c r="E5" s="3"/>
      <c r="F5" s="3"/>
      <c r="G5" s="3"/>
      <c r="H5" s="3"/>
      <c r="I5" s="3"/>
      <c r="J5" s="3"/>
      <c r="K5" s="3">
        <v>1</v>
      </c>
      <c r="L5" s="3">
        <v>3</v>
      </c>
      <c r="M5" s="3" t="s">
        <v>114</v>
      </c>
    </row>
    <row r="6" spans="1:13" ht="43" x14ac:dyDescent="0.2">
      <c r="A6" s="2" t="s">
        <v>108</v>
      </c>
      <c r="B6" s="3" t="s">
        <v>109</v>
      </c>
      <c r="C6" s="3"/>
      <c r="D6" s="3"/>
      <c r="E6" s="3"/>
      <c r="F6" s="3"/>
      <c r="G6" s="3"/>
      <c r="H6" s="3"/>
      <c r="I6" s="3"/>
      <c r="J6" s="3"/>
      <c r="K6" s="3">
        <v>2</v>
      </c>
      <c r="L6" s="3">
        <v>3</v>
      </c>
      <c r="M6" s="1" t="s">
        <v>111</v>
      </c>
    </row>
    <row r="7" spans="1:13" ht="43" x14ac:dyDescent="0.2">
      <c r="A7" s="2" t="s">
        <v>106</v>
      </c>
      <c r="B7" s="3" t="s">
        <v>107</v>
      </c>
      <c r="C7" s="3"/>
      <c r="D7" s="3"/>
      <c r="E7" s="3"/>
      <c r="F7" s="3"/>
      <c r="G7" s="3"/>
      <c r="H7" s="3"/>
      <c r="I7" s="3"/>
      <c r="J7" s="3"/>
      <c r="K7" s="3">
        <v>0</v>
      </c>
      <c r="L7" s="3">
        <v>3</v>
      </c>
      <c r="M7" s="1" t="s">
        <v>110</v>
      </c>
    </row>
    <row r="8" spans="1:13" ht="43" x14ac:dyDescent="0.2">
      <c r="A8" s="2" t="s">
        <v>104</v>
      </c>
      <c r="B8" s="3" t="s">
        <v>101</v>
      </c>
      <c r="C8" s="3"/>
      <c r="D8" s="3"/>
      <c r="E8" s="3"/>
      <c r="F8" s="3"/>
      <c r="G8" s="3"/>
      <c r="H8" s="3"/>
      <c r="I8" s="3"/>
      <c r="J8" s="3"/>
      <c r="K8" s="3">
        <v>1</v>
      </c>
      <c r="L8" s="3">
        <v>3</v>
      </c>
      <c r="M8" s="1" t="s">
        <v>105</v>
      </c>
    </row>
    <row r="9" spans="1:13" ht="43" x14ac:dyDescent="0.2">
      <c r="A9" s="2" t="s">
        <v>103</v>
      </c>
      <c r="B9" s="3" t="s">
        <v>101</v>
      </c>
      <c r="C9" s="3"/>
      <c r="D9" s="3"/>
      <c r="E9" s="3"/>
      <c r="F9" s="3"/>
      <c r="G9" s="3"/>
      <c r="H9" s="3"/>
      <c r="I9" s="3"/>
      <c r="J9" s="3"/>
      <c r="K9" s="3">
        <v>0</v>
      </c>
      <c r="L9" s="3">
        <v>3</v>
      </c>
      <c r="M9" s="1" t="s">
        <v>102</v>
      </c>
    </row>
    <row r="10" spans="1:13" ht="43" x14ac:dyDescent="0.2">
      <c r="A10" s="2" t="s">
        <v>100</v>
      </c>
      <c r="B10" s="3" t="s">
        <v>101</v>
      </c>
      <c r="C10" s="3"/>
      <c r="D10" s="3"/>
      <c r="E10" s="3"/>
      <c r="F10" s="3"/>
      <c r="G10" s="3"/>
      <c r="H10" s="3"/>
      <c r="I10" s="3"/>
      <c r="J10" s="3"/>
      <c r="K10" s="3">
        <v>2</v>
      </c>
      <c r="L10" s="3">
        <v>3</v>
      </c>
      <c r="M10" s="1" t="s">
        <v>99</v>
      </c>
    </row>
    <row r="11" spans="1:13" ht="43" x14ac:dyDescent="0.2">
      <c r="A11" s="2" t="s">
        <v>97</v>
      </c>
      <c r="B11" s="3" t="s">
        <v>98</v>
      </c>
      <c r="C11" s="3"/>
      <c r="D11" s="3"/>
      <c r="E11" s="3"/>
      <c r="F11" s="3"/>
      <c r="G11" s="3"/>
      <c r="H11" s="3"/>
      <c r="I11" s="3"/>
      <c r="J11" s="3"/>
      <c r="K11" s="3">
        <v>1</v>
      </c>
      <c r="L11" s="3">
        <v>3</v>
      </c>
      <c r="M11" s="1" t="s">
        <v>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C3762-DCB5-C14C-93FA-9FF1452CA81D}">
  <dimension ref="A1:O7"/>
  <sheetViews>
    <sheetView zoomScale="140" zoomScaleNormal="140" workbookViewId="0">
      <selection activeCell="C9" sqref="C9"/>
    </sheetView>
  </sheetViews>
  <sheetFormatPr baseColWidth="10" defaultRowHeight="16" x14ac:dyDescent="0.2"/>
  <cols>
    <col min="1" max="1" width="47.5" bestFit="1" customWidth="1"/>
    <col min="2" max="2" width="33.5" bestFit="1" customWidth="1"/>
    <col min="3" max="3" width="21.6640625" customWidth="1"/>
    <col min="4" max="4" width="32" customWidth="1"/>
    <col min="5" max="5" width="27" customWidth="1"/>
    <col min="6" max="6" width="26.1640625" bestFit="1" customWidth="1"/>
    <col min="7" max="7" width="23.1640625" bestFit="1" customWidth="1"/>
    <col min="8" max="8" width="23" bestFit="1" customWidth="1"/>
    <col min="9" max="9" width="24.1640625" bestFit="1" customWidth="1"/>
    <col min="10" max="10" width="22.83203125" customWidth="1"/>
    <col min="11" max="11" width="65.33203125" bestFit="1" customWidth="1"/>
    <col min="12" max="12" width="65.33203125" customWidth="1"/>
    <col min="13" max="13" width="14.5" bestFit="1" customWidth="1"/>
  </cols>
  <sheetData>
    <row r="1" spans="1:15" x14ac:dyDescent="0.2">
      <c r="A1" s="1" t="s">
        <v>2</v>
      </c>
      <c r="B1" s="1" t="s">
        <v>139</v>
      </c>
      <c r="C1" s="1" t="s">
        <v>3</v>
      </c>
      <c r="D1" s="1" t="s">
        <v>4</v>
      </c>
      <c r="E1" s="1" t="s">
        <v>54</v>
      </c>
      <c r="F1" s="1" t="s">
        <v>55</v>
      </c>
      <c r="G1" s="1" t="s">
        <v>56</v>
      </c>
      <c r="H1" s="1" t="s">
        <v>51</v>
      </c>
      <c r="I1" s="1" t="s">
        <v>52</v>
      </c>
      <c r="J1" s="1" t="s">
        <v>53</v>
      </c>
      <c r="K1" s="1" t="s">
        <v>5</v>
      </c>
      <c r="L1" s="1" t="s">
        <v>6</v>
      </c>
      <c r="M1" s="1" t="s">
        <v>124</v>
      </c>
      <c r="N1" s="1" t="s">
        <v>80</v>
      </c>
      <c r="O1" s="1" t="s">
        <v>81</v>
      </c>
    </row>
    <row r="2" spans="1:15" ht="43" x14ac:dyDescent="0.2">
      <c r="A2" s="2" t="s">
        <v>57</v>
      </c>
      <c r="B2" s="1" t="s">
        <v>140</v>
      </c>
      <c r="C2" s="1" t="s">
        <v>62</v>
      </c>
      <c r="D2" s="3" t="s">
        <v>67</v>
      </c>
      <c r="E2">
        <v>97397</v>
      </c>
      <c r="F2">
        <v>43978</v>
      </c>
      <c r="G2">
        <v>60949</v>
      </c>
      <c r="H2">
        <v>181.32</v>
      </c>
      <c r="I2">
        <v>98.78</v>
      </c>
      <c r="J2">
        <v>132.47</v>
      </c>
      <c r="K2" s="3" t="s">
        <v>76</v>
      </c>
      <c r="L2" s="1" t="s">
        <v>77</v>
      </c>
      <c r="M2" s="1">
        <f>SUM(H2:J2)</f>
        <v>412.57000000000005</v>
      </c>
      <c r="N2" s="1">
        <v>3</v>
      </c>
      <c r="O2" s="1">
        <v>4</v>
      </c>
    </row>
    <row r="3" spans="1:15" ht="43" x14ac:dyDescent="0.2">
      <c r="A3" s="2" t="s">
        <v>58</v>
      </c>
      <c r="B3" s="3" t="s">
        <v>141</v>
      </c>
      <c r="C3" s="3" t="s">
        <v>63</v>
      </c>
      <c r="D3" s="3" t="s">
        <v>68</v>
      </c>
      <c r="E3">
        <v>104284</v>
      </c>
      <c r="F3">
        <v>78125</v>
      </c>
      <c r="G3">
        <v>94244</v>
      </c>
      <c r="H3">
        <v>194.97</v>
      </c>
      <c r="I3">
        <v>176.42</v>
      </c>
      <c r="J3">
        <v>206.33</v>
      </c>
      <c r="K3" s="3" t="s">
        <v>72</v>
      </c>
      <c r="L3" s="1" t="s">
        <v>78</v>
      </c>
      <c r="M3" s="1">
        <f t="shared" ref="M3:M6" si="0">SUM(H3:J3)</f>
        <v>577.72</v>
      </c>
      <c r="N3" s="1">
        <v>3</v>
      </c>
      <c r="O3" s="1">
        <v>4</v>
      </c>
    </row>
    <row r="4" spans="1:15" ht="43" x14ac:dyDescent="0.2">
      <c r="A4" s="2" t="s">
        <v>59</v>
      </c>
      <c r="B4" s="3" t="s">
        <v>142</v>
      </c>
      <c r="C4" s="1" t="s">
        <v>64</v>
      </c>
      <c r="D4" s="3" t="s">
        <v>69</v>
      </c>
      <c r="E4">
        <v>262232</v>
      </c>
      <c r="F4">
        <v>17715</v>
      </c>
      <c r="G4">
        <v>16671</v>
      </c>
      <c r="H4">
        <v>500.2</v>
      </c>
      <c r="I4">
        <v>40.380000000000003</v>
      </c>
      <c r="J4">
        <v>36.11</v>
      </c>
      <c r="K4" s="3" t="s">
        <v>73</v>
      </c>
      <c r="L4" s="1" t="s">
        <v>77</v>
      </c>
      <c r="M4" s="1">
        <f t="shared" si="0"/>
        <v>576.69000000000005</v>
      </c>
      <c r="N4" s="1">
        <v>4</v>
      </c>
      <c r="O4" s="1">
        <v>5</v>
      </c>
    </row>
    <row r="5" spans="1:15" ht="43" x14ac:dyDescent="0.2">
      <c r="A5" s="2" t="s">
        <v>60</v>
      </c>
      <c r="B5" s="1" t="s">
        <v>143</v>
      </c>
      <c r="C5" s="1" t="s">
        <v>65</v>
      </c>
      <c r="D5" s="3" t="s">
        <v>70</v>
      </c>
      <c r="E5">
        <v>152096</v>
      </c>
      <c r="F5">
        <v>69002</v>
      </c>
      <c r="G5">
        <v>48797</v>
      </c>
      <c r="H5">
        <v>279.86</v>
      </c>
      <c r="I5">
        <v>160.87</v>
      </c>
      <c r="J5">
        <v>104.54</v>
      </c>
      <c r="K5" s="3" t="s">
        <v>74</v>
      </c>
      <c r="L5" s="1" t="s">
        <v>77</v>
      </c>
      <c r="M5" s="1">
        <f t="shared" si="0"/>
        <v>545.27</v>
      </c>
      <c r="N5" s="1">
        <v>2</v>
      </c>
      <c r="O5" s="1">
        <v>3</v>
      </c>
    </row>
    <row r="6" spans="1:15" ht="43" x14ac:dyDescent="0.2">
      <c r="A6" s="2" t="s">
        <v>61</v>
      </c>
      <c r="B6" s="1" t="s">
        <v>144</v>
      </c>
      <c r="C6" s="1" t="s">
        <v>66</v>
      </c>
      <c r="D6" s="3" t="s">
        <v>71</v>
      </c>
      <c r="E6">
        <v>276513</v>
      </c>
      <c r="F6">
        <v>44956</v>
      </c>
      <c r="G6">
        <v>89769</v>
      </c>
      <c r="H6">
        <v>402.11</v>
      </c>
      <c r="I6">
        <v>82.35</v>
      </c>
      <c r="J6">
        <v>154.44999999999999</v>
      </c>
      <c r="K6" s="3" t="s">
        <v>75</v>
      </c>
      <c r="L6" s="1" t="s">
        <v>79</v>
      </c>
      <c r="M6" s="1">
        <f t="shared" si="0"/>
        <v>638.91000000000008</v>
      </c>
      <c r="N6" s="1">
        <v>4</v>
      </c>
      <c r="O6" s="1">
        <v>5</v>
      </c>
    </row>
    <row r="7" spans="1:15" x14ac:dyDescent="0.2">
      <c r="M7" s="1"/>
      <c r="N7" s="1"/>
    </row>
  </sheetData>
  <phoneticPr fontId="3" type="noConversion"/>
  <hyperlinks>
    <hyperlink ref="A2" r:id="rId1" xr:uid="{9502DB97-57BC-AC46-BF2E-FD5B9ACDB338}"/>
    <hyperlink ref="A3" r:id="rId2" xr:uid="{0C5C6A76-227B-8A44-B5F1-34D67BB98E2C}"/>
    <hyperlink ref="A4" r:id="rId3" xr:uid="{22E8456C-BF44-6E47-B3DE-B853CD485E8A}"/>
    <hyperlink ref="A5" r:id="rId4" xr:uid="{1EAADCEF-5640-F949-9329-6543EDF15D9E}"/>
    <hyperlink ref="A6" r:id="rId5" xr:uid="{90DEA0E5-0456-154C-BFD9-851F5EE98A9A}"/>
  </hyperlink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D017F-0683-A64A-A555-FD51FF615EBB}">
  <dimension ref="A1:G11"/>
  <sheetViews>
    <sheetView workbookViewId="0">
      <selection activeCell="B1" sqref="B1:B6"/>
    </sheetView>
  </sheetViews>
  <sheetFormatPr baseColWidth="10" defaultRowHeight="16" x14ac:dyDescent="0.2"/>
  <cols>
    <col min="1" max="1" width="47.5" bestFit="1" customWidth="1"/>
    <col min="2" max="2" width="47.5" customWidth="1"/>
    <col min="3" max="3" width="33.5" bestFit="1" customWidth="1"/>
    <col min="7" max="7" width="16" bestFit="1" customWidth="1"/>
  </cols>
  <sheetData>
    <row r="1" spans="1:7" x14ac:dyDescent="0.2">
      <c r="A1" s="1" t="s">
        <v>2</v>
      </c>
      <c r="B1" s="1" t="s">
        <v>139</v>
      </c>
      <c r="C1" s="1" t="s">
        <v>3</v>
      </c>
      <c r="D1" t="s">
        <v>125</v>
      </c>
      <c r="E1" t="s">
        <v>126</v>
      </c>
      <c r="F1" t="s">
        <v>127</v>
      </c>
      <c r="G1" t="s">
        <v>128</v>
      </c>
    </row>
    <row r="2" spans="1:7" x14ac:dyDescent="0.2">
      <c r="A2" s="2" t="s">
        <v>57</v>
      </c>
      <c r="B2" s="1" t="s">
        <v>140</v>
      </c>
      <c r="C2" s="1" t="s">
        <v>62</v>
      </c>
      <c r="D2">
        <v>53.82</v>
      </c>
      <c r="E2">
        <v>55.79</v>
      </c>
      <c r="F2">
        <v>52.23</v>
      </c>
      <c r="G2" s="7">
        <f>AVERAGE(D2:F2)</f>
        <v>53.946666666666665</v>
      </c>
    </row>
    <row r="3" spans="1:7" x14ac:dyDescent="0.2">
      <c r="A3" s="2" t="s">
        <v>58</v>
      </c>
      <c r="B3" s="3" t="s">
        <v>141</v>
      </c>
      <c r="C3" s="1" t="s">
        <v>63</v>
      </c>
      <c r="D3">
        <v>52.44</v>
      </c>
      <c r="E3">
        <v>52.35</v>
      </c>
      <c r="F3">
        <v>53.66</v>
      </c>
      <c r="G3" s="7">
        <f>AVERAGE(D3:F3)</f>
        <v>52.816666666666663</v>
      </c>
    </row>
    <row r="4" spans="1:7" x14ac:dyDescent="0.2">
      <c r="A4" s="2" t="s">
        <v>59</v>
      </c>
      <c r="B4" s="3" t="s">
        <v>142</v>
      </c>
      <c r="C4" s="1" t="s">
        <v>64</v>
      </c>
      <c r="D4">
        <v>46.08</v>
      </c>
      <c r="E4">
        <v>46.61</v>
      </c>
      <c r="F4">
        <v>45.89</v>
      </c>
      <c r="G4" s="7">
        <f>AVERAGE(D4:F4)</f>
        <v>46.193333333333328</v>
      </c>
    </row>
    <row r="5" spans="1:7" x14ac:dyDescent="0.2">
      <c r="A5" s="2" t="s">
        <v>60</v>
      </c>
      <c r="B5" s="1" t="s">
        <v>143</v>
      </c>
      <c r="C5" s="1" t="s">
        <v>65</v>
      </c>
      <c r="D5">
        <v>22.28</v>
      </c>
      <c r="E5">
        <v>23.21</v>
      </c>
      <c r="F5">
        <v>22.74</v>
      </c>
      <c r="G5" s="7">
        <f>AVERAGE(D5:F5)</f>
        <v>22.743333333333336</v>
      </c>
    </row>
    <row r="6" spans="1:7" x14ac:dyDescent="0.2">
      <c r="A6" s="2" t="s">
        <v>61</v>
      </c>
      <c r="B6" s="1" t="s">
        <v>144</v>
      </c>
      <c r="C6" s="1" t="s">
        <v>66</v>
      </c>
      <c r="D6">
        <v>44.98</v>
      </c>
      <c r="E6">
        <v>44.72</v>
      </c>
      <c r="F6">
        <v>45.05</v>
      </c>
      <c r="G6" s="7">
        <f>AVERAGE(D6:F6)</f>
        <v>44.916666666666664</v>
      </c>
    </row>
    <row r="7" spans="1:7" x14ac:dyDescent="0.2">
      <c r="G7" s="7"/>
    </row>
    <row r="8" spans="1:7" x14ac:dyDescent="0.2">
      <c r="G8" s="7"/>
    </row>
    <row r="9" spans="1:7" x14ac:dyDescent="0.2">
      <c r="G9" s="7"/>
    </row>
    <row r="10" spans="1:7" x14ac:dyDescent="0.2">
      <c r="G10" s="7"/>
    </row>
    <row r="11" spans="1:7" x14ac:dyDescent="0.2">
      <c r="G11" s="7"/>
    </row>
  </sheetData>
  <hyperlinks>
    <hyperlink ref="A2" r:id="rId1" xr:uid="{7CC5CC57-38D9-9F44-B54A-05689A5FEE50}"/>
    <hyperlink ref="A3" r:id="rId2" xr:uid="{083E3215-DFB5-5D4C-9DC3-181BDE956BC2}"/>
    <hyperlink ref="A4" r:id="rId3" xr:uid="{F1DD588C-484B-EF49-B2A5-4EB28E7FCECC}"/>
    <hyperlink ref="A5" r:id="rId4" xr:uid="{8A82522C-937D-0345-84F2-6ED7344764BC}"/>
    <hyperlink ref="A6" r:id="rId5" xr:uid="{0563095F-F9B2-BD4E-B624-7CC69908673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CB860-564F-884B-AD65-E53BBBF15D70}">
  <dimension ref="A1:M6"/>
  <sheetViews>
    <sheetView topLeftCell="B1" workbookViewId="0">
      <selection activeCell="C16" sqref="C16"/>
    </sheetView>
  </sheetViews>
  <sheetFormatPr baseColWidth="10" defaultRowHeight="16" x14ac:dyDescent="0.2"/>
  <cols>
    <col min="1" max="1" width="45.1640625" bestFit="1" customWidth="1"/>
    <col min="2" max="2" width="57.83203125" bestFit="1" customWidth="1"/>
    <col min="4" max="4" width="25.1640625" bestFit="1" customWidth="1"/>
    <col min="5" max="5" width="25" bestFit="1" customWidth="1"/>
    <col min="6" max="6" width="26.1640625" bestFit="1" customWidth="1"/>
    <col min="7" max="7" width="23.1640625" bestFit="1" customWidth="1"/>
    <col min="8" max="8" width="23" bestFit="1" customWidth="1"/>
    <col min="9" max="9" width="24.1640625" bestFit="1" customWidth="1"/>
    <col min="10" max="10" width="10.1640625" bestFit="1" customWidth="1"/>
    <col min="11" max="11" width="60" customWidth="1"/>
    <col min="12" max="12" width="14.5" bestFit="1" customWidth="1"/>
  </cols>
  <sheetData>
    <row r="1" spans="1:13" x14ac:dyDescent="0.2">
      <c r="A1" s="1" t="s">
        <v>2</v>
      </c>
      <c r="B1" s="1" t="s">
        <v>3</v>
      </c>
      <c r="C1" s="1" t="s">
        <v>4</v>
      </c>
      <c r="D1" s="1" t="s">
        <v>54</v>
      </c>
      <c r="E1" s="1" t="s">
        <v>55</v>
      </c>
      <c r="F1" s="1" t="s">
        <v>56</v>
      </c>
      <c r="G1" s="1" t="s">
        <v>51</v>
      </c>
      <c r="H1" s="1" t="s">
        <v>52</v>
      </c>
      <c r="I1" s="1" t="s">
        <v>53</v>
      </c>
      <c r="J1" s="1" t="s">
        <v>5</v>
      </c>
      <c r="K1" s="1" t="s">
        <v>6</v>
      </c>
      <c r="L1" s="1" t="s">
        <v>80</v>
      </c>
      <c r="M1" s="1" t="s">
        <v>81</v>
      </c>
    </row>
    <row r="2" spans="1:13" x14ac:dyDescent="0.2">
      <c r="A2" s="2" t="s">
        <v>82</v>
      </c>
      <c r="B2" s="1" t="s">
        <v>83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3" t="s">
        <v>92</v>
      </c>
      <c r="L2" s="1">
        <v>4</v>
      </c>
      <c r="M2" s="1">
        <v>4</v>
      </c>
    </row>
    <row r="3" spans="1:13" ht="29" x14ac:dyDescent="0.2">
      <c r="A3" s="2" t="s">
        <v>84</v>
      </c>
      <c r="B3" s="1" t="s">
        <v>85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3" t="s">
        <v>93</v>
      </c>
      <c r="L3" s="1">
        <v>1</v>
      </c>
      <c r="M3" s="1">
        <v>7</v>
      </c>
    </row>
    <row r="4" spans="1:13" ht="43" x14ac:dyDescent="0.2">
      <c r="A4" s="2" t="s">
        <v>86</v>
      </c>
      <c r="B4" s="1" t="s">
        <v>87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3" t="s">
        <v>94</v>
      </c>
      <c r="L4" s="1">
        <v>0</v>
      </c>
      <c r="M4" s="1">
        <v>5</v>
      </c>
    </row>
    <row r="5" spans="1:13" ht="29" x14ac:dyDescent="0.2">
      <c r="A5" s="2" t="s">
        <v>88</v>
      </c>
      <c r="B5" s="1" t="s">
        <v>89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3" t="s">
        <v>95</v>
      </c>
      <c r="L5" s="1">
        <v>0</v>
      </c>
      <c r="M5" s="1">
        <v>3</v>
      </c>
    </row>
    <row r="6" spans="1:13" x14ac:dyDescent="0.2">
      <c r="A6" s="2" t="s">
        <v>90</v>
      </c>
      <c r="B6" s="1" t="s">
        <v>91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3" t="s">
        <v>96</v>
      </c>
      <c r="L6" s="1">
        <v>2</v>
      </c>
      <c r="M6" s="1">
        <v>5</v>
      </c>
    </row>
  </sheetData>
  <hyperlinks>
    <hyperlink ref="A2" r:id="rId1" xr:uid="{AF3D36A1-4DDA-1443-A689-59EA9AA86D02}"/>
    <hyperlink ref="A3" r:id="rId2" xr:uid="{34BDC524-9897-FB41-B950-B41F24092B4D}"/>
    <hyperlink ref="A4" r:id="rId3" xr:uid="{7F48CC5A-88EE-7F40-8E25-9EFBFDDD272C}"/>
    <hyperlink ref="A5" r:id="rId4" xr:uid="{B9AD219D-4DAB-E844-B5CE-6DC1D056A090}"/>
    <hyperlink ref="A6" r:id="rId5" xr:uid="{97C525B6-2D8C-D14A-9B8C-3EC4BE1FD9C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Layer3 LoginChecker Claude</vt:lpstr>
      <vt:lpstr>Layer3 LoginChecker OpenAI</vt:lpstr>
      <vt:lpstr>Layer3 AlphaHunter Claude</vt:lpstr>
      <vt:lpstr>Layer3 AlphaHunter OpenAI</vt:lpstr>
      <vt:lpstr>Galxe LoginChecker Claude</vt:lpstr>
      <vt:lpstr>Galxe LoginChecker OpenAI</vt:lpstr>
      <vt:lpstr>Galxe AlphaHunter Claude</vt:lpstr>
      <vt:lpstr>Galxe AlphaHunter OpenAI</vt:lpstr>
      <vt:lpstr>Layer3 OtherAgents Claude</vt:lpstr>
      <vt:lpstr>Layer3 User</vt:lpstr>
      <vt:lpstr>Layer3 OtherAgents OpenAI</vt:lpstr>
      <vt:lpstr>Galxe OtherAgents Claude</vt:lpstr>
      <vt:lpstr>Galxe User</vt:lpstr>
      <vt:lpstr>Galxe OtherAgents OpenAI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#SOMESH SAHU#</dc:creator>
  <cp:lastModifiedBy>#SOMESH SAHU#</cp:lastModifiedBy>
  <dcterms:created xsi:type="dcterms:W3CDTF">2025-03-17T07:04:10Z</dcterms:created>
  <dcterms:modified xsi:type="dcterms:W3CDTF">2025-03-22T04:00:30Z</dcterms:modified>
</cp:coreProperties>
</file>